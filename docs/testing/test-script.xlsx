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วิธีใช้" sheetId="1" state="visible" r:id="rId3"/>
    <sheet name="Test cases" sheetId="2" state="visible" r:id="rId4"/>
    <sheet name="ค่าที่คาดหวัง" sheetId="3" state="visible" r:id="rId5"/>
    <sheet name="Issue log" sheetId="4" state="visible" r:id="rId6"/>
    <sheet name="สรุปผล" sheetId="5" state="visible" r:id="rId7"/>
  </sheets>
  <definedNames>
    <definedName function="false" hidden="true" localSheetId="1" name="_xlnm._FilterDatabase" vbProcedure="false">'Test cases'!$A$1:$L$64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OCL</author>
  </authors>
  <commentList>
    <comment ref="I1" authorId="0">
      <text>
        <r>
          <rPr>
            <sz val="10"/>
            <rFont val="Noto Sans"/>
            <family val="2"/>
          </rPr>
          <t xml:space="preserve">เลือกจากรายการ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"/>
            <family val="2"/>
          </rPr>
          <t xml:space="preserve">ผ่าน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"/>
            <family val="2"/>
          </rPr>
          <t xml:space="preserve">ไม่ผ่าน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"/>
            <family val="2"/>
          </rPr>
          <t xml:space="preserve">ข้าม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"/>
            <family val="2"/>
          </rPr>
          <t xml:space="preserve">บล็อก</t>
        </r>
      </text>
    </comment>
    <comment ref="K1" authorId="0">
      <text>
        <r>
          <rPr>
            <sz val="10"/>
            <rFont val="Noto Sans"/>
            <family val="2"/>
          </rPr>
          <t xml:space="preserve">กรอกเป็นวันที่ เช่น </t>
        </r>
        <r>
          <rPr>
            <sz val="10"/>
            <rFont val="Arial"/>
            <family val="2"/>
          </rPr>
          <t xml:space="preserve">22/10/2569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OCL</author>
  </authors>
  <commentList>
    <comment ref="C1" authorId="0">
      <text>
        <r>
          <rPr>
            <sz val="10"/>
            <rFont val="Noto Sans"/>
            <family val="2"/>
          </rPr>
          <t xml:space="preserve">สูง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"/>
            <family val="2"/>
          </rPr>
          <t xml:space="preserve">ใช้งานต่อไม่ได้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"/>
            <family val="2"/>
          </rPr>
          <t xml:space="preserve">ข้อมูลผิด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"/>
            <family val="2"/>
          </rPr>
          <t xml:space="preserve">ปานกลาง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"/>
            <family val="2"/>
          </rPr>
          <t xml:space="preserve">ทำงานได้แต่ผลไม่ตรง 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"/>
            <family val="2"/>
          </rPr>
          <t xml:space="preserve">ต่ำ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"/>
            <family val="2"/>
          </rPr>
          <t xml:space="preserve">หน้าตา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"/>
            <family val="2"/>
          </rPr>
          <t xml:space="preserve">ข้อความ</t>
        </r>
      </text>
    </comment>
  </commentList>
</comments>
</file>

<file path=xl/sharedStrings.xml><?xml version="1.0" encoding="utf-8"?>
<sst xmlns="http://schemas.openxmlformats.org/spreadsheetml/2006/main" count="585" uniqueCount="436">
  <si>
    <t xml:space="preserve">OCL Agent · Test script สำหรับทีม (POC นำเข้าข้อมูลเล่มหลักสูตรด้วย AI)</t>
  </si>
  <si>
    <t xml:space="preserve">เวอร์ชันระบบ: commit หลัง workflow คู่มือหลักสูตร (22 ต.ค. 2569) · server http://100.104.172.122:8100/import (ต้องอยู่ใน Tailscale) · dev บน Mac http://localhost:3000/import</t>
  </si>
  <si>
    <t xml:space="preserve">ก่อนเริ่ม</t>
  </si>
  <si>
    <t xml:space="preserve">1. เครื่องทดสอบต่อ Tailscale และเปิด http://100.104.172.122:8100/health ได้ ต้องเห็น "status":"ok" "database":"postgres" "auth":"enabled" · ขอบัญชีทดสอบ (บัวศรีไอดี+รหัสผ่าน) 3 บทบาท admin / faculty / teacher จาก PM ก่อนเริ่ม</t>
  </si>
  <si>
    <t xml:space="preserve">2. เล่มตัวอย่าง 5 เล่มอยู่ที่ samples/curriculum/ ใน repo ของ PM (ไม่อยู่ใน git) ขอสำเนาจาก PM · ชีต 'ค่าที่คาดหวัง' บอกตัวเลขที่ระบบควรสกัดได้ของแต่ละเล่ม</t>
  </si>
  <si>
    <t xml:space="preserve">3. งานที่ใช้ AI (ปุ่ม Local AI · Gemma) ใช้เวลา 1–2 นาทีต่อเล่ม และทำให้ HRIS ช้าลงชั่วคราว ห้ามรันช่วง 02:30–04:00 และอย่ารันพร้อมกันหลายคน (ระบบรันทีละงานอยู่แล้ว งานที่เหลือต่อคิว)</t>
  </si>
  <si>
    <t xml:space="preserve">4. ถ้าแค่ทดสอบหน้าจอ ให้เลือก "อ่านด้วยกฎเท่านั้น (ไม่ใช้ AI)" จะเสร็จใน 1–3 วินาที</t>
  </si>
  <si>
    <t xml:space="preserve">วิธีบันทึกผล</t>
  </si>
  <si>
    <t xml:space="preserve">• ชีต 'Test cases': กรอกเฉพาะช่องสีเหลือง = ผลจริง · สถานะ (เลือก ผ่าน / ไม่ผ่าน / ข้าม / บล็อก) · ผู้ทดสอบ · วันที่ · หมายเหตุ/Issue ID · ห้ามแก้คอลัมน์อื่น</t>
  </si>
  <si>
    <t xml:space="preserve">• ไม่ผ่าน = ผลต่างจาก 'ผลที่คาดหวัง' · บล็อก = ทดสอบไม่ได้เพราะ case ก่อนหน้าไม่ผ่าน · ข้าม = ไม่อยู่ในรอบนี้ (ใส่เหตุผล)</t>
  </si>
  <si>
    <t xml:space="preserve">• ทุก case ที่ไม่ผ่าน ให้เปิดแถวใน 'Issue log' (1 issue ต่อ 1 อาการ) ใส่ขั้นตอนทำซ้ำ + screenshot (แนบในแชตทีม อ้างชื่อไฟล์) แล้วใส่ Issue ID กลับมาในคอลัมน์หมายเหตุ</t>
  </si>
  <si>
    <t xml:space="preserve">• ชีต 'สรุปผล' คำนวณเองจากคอลัมน์สถานะ ไม่ต้องกรอก</t>
  </si>
  <si>
    <t xml:space="preserve">ลำดับที่แนะนำ</t>
  </si>
  <si>
    <t xml:space="preserve">J auth (login/บทบาท) → A ตรวจระบบ → B อัปโหลด → C สกัด (ไม่ใช้ AI) → D หน้าตรวจทุกส่วน → E ปิดงาน → F สกัดด้วย AI 1 เล่ม → G server (PM หรือคนที่เข้า server ได้) → H golden (Admin ตรวจกับเล่ม) → I API → K workflow คู่มือหลักสูตร (ต้องมีบัญชี admin/central + faculty)</t>
  </si>
  <si>
    <t xml:space="preserve">สีที่ใช้</t>
  </si>
  <si>
    <t xml:space="preserve">ช่องสีเหลือง = ให้กรอก · แถวสีเทา = ตัวอย่างการกรอก (ลบได้) · หัวตารางสีแดง = ห้ามแก้</t>
  </si>
  <si>
    <t xml:space="preserve">ID</t>
  </si>
  <si>
    <t xml:space="preserve">หมวด</t>
  </si>
  <si>
    <t xml:space="preserve">หน้า/ส่วน</t>
  </si>
  <si>
    <t xml:space="preserve">Test case</t>
  </si>
  <si>
    <t xml:space="preserve">ขั้นตอน</t>
  </si>
  <si>
    <t xml:space="preserve">ข้อมูลทดสอบ</t>
  </si>
  <si>
    <t xml:space="preserve">ผลที่คาดหวัง</t>
  </si>
  <si>
    <t xml:space="preserve">ผลจริง</t>
  </si>
  <si>
    <t xml:space="preserve">สถานะ</t>
  </si>
  <si>
    <t xml:space="preserve">ผู้ทดสอบ</t>
  </si>
  <si>
    <t xml:space="preserve">วันที่</t>
  </si>
  <si>
    <t xml:space="preserve">หมายเหตุ / Issue ID</t>
  </si>
  <si>
    <t xml:space="preserve">EX-0</t>
  </si>
  <si>
    <t xml:space="preserve">ตัวอย่าง</t>
  </si>
  <si>
    <t xml:space="preserve">/health</t>
  </si>
  <si>
    <t xml:space="preserve">(ตัวอย่างการกรอก)</t>
  </si>
  <si>
    <t xml:space="preserve">เปิด URL</t>
  </si>
  <si>
    <t xml:space="preserve">-</t>
  </si>
  <si>
    <t xml:space="preserve">status ok</t>
  </si>
  <si>
    <t xml:space="preserve">เห็น status ok, database postgres</t>
  </si>
  <si>
    <t xml:space="preserve">ผ่าน</t>
  </si>
  <si>
    <t xml:space="preserve">สมชาย</t>
  </si>
  <si>
    <t xml:space="preserve">22/10/2569</t>
  </si>
  <si>
    <t xml:space="preserve">A-1</t>
  </si>
  <si>
    <t xml:space="preserve">A ระบบ</t>
  </si>
  <si>
    <t xml:space="preserve">API ตอบและใช้ Postgres</t>
  </si>
  <si>
    <t xml:space="preserve">เปิด http://100.104.172.122:8100/health ในเบราว์เซอร์</t>
  </si>
  <si>
    <t xml:space="preserve">JSON มี "status":"ok" "database":"postgres" "auth":"enabled" "inline_worker":false "ollama_model":"gemma4:26b"</t>
  </si>
  <si>
    <t xml:space="preserve">A-2</t>
  </si>
  <si>
    <t xml:space="preserve">/import</t>
  </si>
  <si>
    <t xml:space="preserve">หน้าอัปโหลดเปิดได้และหน้าตาตาม design</t>
  </si>
  <si>
    <t xml:space="preserve">เปิด http://100.104.172.122:8100/import</t>
  </si>
  <si>
    <t xml:space="preserve">หน้า 'นำเข้าข้อมูลเล่มหลักสูตร' แสดง 4 ขั้น, รายการ 10 ส่วนที่ AI จะสกัด (เลขแดงครบ 10 ไม่มีป้าย R1), ปุ่ม Local AI / Cloud AI (Gemini ปิด) / อ่านด้วยกฎ</t>
  </si>
  <si>
    <t xml:space="preserve">A-3</t>
  </si>
  <si>
    <t xml:space="preserve">รายการงานเดิมแสดงจากฐานข้อมูล</t>
  </si>
  <si>
    <t xml:space="preserve">เลื่อนลงดูตาราง 'งานนำเข้าล่าสุด'</t>
  </si>
  <si>
    <t xml:space="preserve">เห็นงานที่เคยอัปโหลด (อย่างน้อยงานของ PM 22 ต.ค.) พร้อมสถานะ เวลา และเปิดดูได้</t>
  </si>
  <si>
    <t xml:space="preserve">B-1</t>
  </si>
  <si>
    <t xml:space="preserve">B อัปโหลด</t>
  </si>
  <si>
    <t xml:space="preserve">ปฏิเสธไฟล์ที่ไม่ใช่ docx/pdf</t>
  </si>
  <si>
    <t xml:space="preserve">เลือกไฟล์ .txt หรือ .xlsx แล้วกดเริ่มอ่าน</t>
  </si>
  <si>
    <t xml:space="preserve">ไฟล์ .txt ใด ๆ</t>
  </si>
  <si>
    <t xml:space="preserve">ข้อความ 'รองรับเฉพาะ .docx และ .pdf' ไม่สร้างงาน</t>
  </si>
  <si>
    <t xml:space="preserve">B-2</t>
  </si>
  <si>
    <t xml:space="preserve">ปฏิเสธไฟล์ว่าง</t>
  </si>
  <si>
    <t xml:space="preserve">สร้างไฟล์ว่างชื่อ x.docx (0 byte) แล้วอัปโหลด</t>
  </si>
  <si>
    <t xml:space="preserve">ไฟล์ 0 byte</t>
  </si>
  <si>
    <t xml:space="preserve">ข้อความ 'ไฟล์ว่าง'</t>
  </si>
  <si>
    <t xml:space="preserve">B-3</t>
  </si>
  <si>
    <t xml:space="preserve">ปฏิเสธไฟล์เกิน 50 MB</t>
  </si>
  <si>
    <t xml:space="preserve">อัปโหลด .pdf ขนาด &gt; 50 MB</t>
  </si>
  <si>
    <t xml:space="preserve">pdf &gt; 50 MB (สร้างจากการรวมไฟล์)</t>
  </si>
  <si>
    <t xml:space="preserve">ข้อความ 'ไฟล์ใหญ่เกิน 50 MB'</t>
  </si>
  <si>
    <t xml:space="preserve">B-4</t>
  </si>
  <si>
    <t xml:space="preserve">อัปโหลด docx แบบอ่านด้วยกฎ</t>
  </si>
  <si>
    <t xml:space="preserve">เลือก 'อ่านด้วยกฎเท่านั้น' → เลือกเล่ม ศศ.ม. → เริ่มอ่าน</t>
  </si>
  <si>
    <t xml:space="preserve">ศศ.ม. เศรษฐศาสตร์ธุรกิจฯ (ปป.69).docx</t>
  </si>
  <si>
    <t xml:space="preserve">ไปหน้า /import/&lt;id&gt; ขั้นที่ 2 'AI กำลังอ่าน' แล้วเปลี่ยนเป็นหน้าตรวจเองภายใน 10 วินาที (ไม่ต้องกดรีเฟรช)</t>
  </si>
  <si>
    <t xml:space="preserve">B-5</t>
  </si>
  <si>
    <t xml:space="preserve">อัปโหลด PDF แบบอ่านด้วยกฎ</t>
  </si>
  <si>
    <t xml:space="preserve">เหมือน B-4 แต่ใช้เล่ม PDF</t>
  </si>
  <si>
    <t xml:space="preserve">4.1.4 วท.บ. วิทยาศาสตร์การอาหารฯ.pdf (186 หน้า)</t>
  </si>
  <si>
    <t xml:space="preserve">ถึงหน้าตรวจภายใน 90 วินาที (PDF ช้ากว่า docx) ไม่มีสถานะ 'ล้มเหลว'</t>
  </si>
  <si>
    <t xml:space="preserve">B-6</t>
  </si>
  <si>
    <t xml:space="preserve">อัปโหลด 2 งานติดกันแล้วต่อคิว</t>
  </si>
  <si>
    <t xml:space="preserve">อัปโหลดเล่ม ศศ.ม. แล้วอัปโหลดเล่ม ปร.ด. ทันทีจากอีกแท็บ</t>
  </si>
  <si>
    <t xml:space="preserve">2 เล่ม</t>
  </si>
  <si>
    <t xml:space="preserve">งานที่ 2 ขึ้น 'รอคิว' จนงานแรกเสร็จ แล้วจึงเริ่ม (ระบบรันทีละงาน) ทั้งสองถึงหน้าตรวจ</t>
  </si>
  <si>
    <t xml:space="preserve">C-1</t>
  </si>
  <si>
    <t xml:space="preserve">C สกัด</t>
  </si>
  <si>
    <t xml:space="preserve">หน้าตรวจ</t>
  </si>
  <si>
    <t xml:space="preserve">ตัวเลขที่สกัดได้ตรงกับชีต 'ค่าที่คาดหวัง'</t>
  </si>
  <si>
    <t xml:space="preserve">หลังงาน B-4 ถึงหน้าตรวจ เปิดแต่ละส่วนทั้ง 10 แล้วนับรายการ (จำนวนขึ้นที่หัวตารางของแต่ละส่วน)</t>
  </si>
  <si>
    <t xml:space="preserve">ศศ.ม.</t>
  </si>
  <si>
    <t xml:space="preserve">ตรงกับชีต 'ค่าที่คาดหวัง' แถว ศศ.ม. ทุกส่วน (±0)</t>
  </si>
  <si>
    <t xml:space="preserve">C-2</t>
  </si>
  <si>
    <t xml:space="preserve">เล่มอื่น ๆ ตรงกับค่าที่คาดหวัง</t>
  </si>
  <si>
    <t xml:space="preserve">ทำซ้ำ C-1 กับอีก 4 เล่ม (อ่านด้วยกฎ)</t>
  </si>
  <si>
    <t xml:space="preserve">ภูมิอากาศ / ปร.ด. / ศศ.บ. / อาหาร PDF</t>
  </si>
  <si>
    <t xml:space="preserve">ตรงชีต 'ค่าที่คาดหวัง' · ถ้าต่าง ให้บันทึกส่วนและตัวเลขที่ได้</t>
  </si>
  <si>
    <t xml:space="preserve">C-3</t>
  </si>
  <si>
    <t xml:space="preserve">หน้าตรวจ › AI ตรวจความสอดคล้อง</t>
  </si>
  <si>
    <t xml:space="preserve">ผลตรวจตรงกับที่คาดหวังของเล่ม</t>
  </si>
  <si>
    <t xml:space="preserve">เปิดแท็บ 'AI ตรวจความสอดคล้อง'</t>
  </si>
  <si>
    <t xml:space="preserve">ไม่มี 'พบปัญหา' · 'ควรตรวจ' ตรงตามชีต 'ค่าที่คาดหวัง' คอลัมน์ 'checks ที่คาด'</t>
  </si>
  <si>
    <t xml:space="preserve">D-1</t>
  </si>
  <si>
    <t xml:space="preserve">D หน้าตรวจ</t>
  </si>
  <si>
    <t xml:space="preserve">1 ข้อมูลหลัก</t>
  </si>
  <si>
    <t xml:space="preserve">ฟิลด์แสดงครบและป้ายอนุมาน</t>
  </si>
  <si>
    <t xml:space="preserve">เปิดส่วนที่ 1</t>
  </si>
  <si>
    <t xml:space="preserve">ฟิลด์ 35 ช่อง จัดกลุ่ม 5 กลุ่ม · ป้าย 'อนุมาน' 7 ฟิลด์ (ระดับ กลุ่มการศึกษา ภาคที่นับ นานาชาติ ประเภทรับสมัคร เกณฑ์มาตรฐาน CWIE) · ตารางวิชาเอก/ความร่วมมือ/อาชีพด้านล่าง</t>
  </si>
  <si>
    <t xml:space="preserve">D-2</t>
  </si>
  <si>
    <t xml:space="preserve">ทุกส่วน</t>
  </si>
  <si>
    <t xml:space="preserve">คลิกรายการแล้วแผงซ้ายเปิดหน้าต้นฉบับ</t>
  </si>
  <si>
    <t xml:space="preserve">ในส่วนที่ 1 คลิกป้ายชื่อฟิลด์ 'ชื่อหลักสูตร (ไทย)' · ในส่วนรายวิชาคลิกแถวใดก็ได้</t>
  </si>
  <si>
    <t xml:space="preserve">แผง 'ต้นฉบับ' กระโดดไปหน้าที่ตรงกับฟิลด์/แถว (ส่วนที่ 1 = หน้า 5) และไฮไลต์ข้อความ</t>
  </si>
  <si>
    <t xml:space="preserve">D-3</t>
  </si>
  <si>
    <t xml:space="preserve">เลื่อนหน้าต้นฉบับด้วยปุ่ม ‹ ›</t>
  </si>
  <si>
    <t xml:space="preserve">กด › 3 ครั้ง แล้ว ‹ 1 ครั้ง</t>
  </si>
  <si>
    <t xml:space="preserve">เลขหน้าเปลี่ยนตาม ข้อความเปลี่ยนตามหน้า</t>
  </si>
  <si>
    <t xml:space="preserve">D-4</t>
  </si>
  <si>
    <t xml:space="preserve">แก้ค่าแล้วบันทึกร่าง</t>
  </si>
  <si>
    <t xml:space="preserve">แก้ 'รหัสหลักสูตร สกอ.' ให้ต่างจากเดิม 1 หลัก → กด 'บันทึกร่าง'</t>
  </si>
  <si>
    <t xml:space="preserve">ป้าย 'ยังไม่บันทึก' หาย ขึ้น 'แก้ไขแล้ว 1 ครั้ง' · รีเฟรชหน้าแล้วค่าที่แก้ยังอยู่</t>
  </si>
  <si>
    <t xml:space="preserve">D-5</t>
  </si>
  <si>
    <t xml:space="preserve">2 อาจารย์</t>
  </si>
  <si>
    <t xml:space="preserve">ติ๊กผู้รับผิดชอบออก + แก้คุณวุฒิ</t>
  </si>
  <si>
    <t xml:space="preserve">ติ๊ก 'ผู้รับผิดชอบ' ของคนที่ 1 ออก → แก้บรรทัดคุณวุฒิ 1 บรรทัด → บันทึกร่าง</t>
  </si>
  <si>
    <t xml:space="preserve">ตัวนับ 'ผู้รับผิดชอบ' ลดลง 1 · คุณวุฒิที่แก้คงอยู่หลังรีเฟรช</t>
  </si>
  <si>
    <t xml:space="preserve">D-6</t>
  </si>
  <si>
    <t xml:space="preserve">3 แผนรับนิสิต</t>
  </si>
  <si>
    <t xml:space="preserve">แก้ตัวเลขและรูปแบบการสอน</t>
  </si>
  <si>
    <t xml:space="preserve">แก้ 'ชั้นปีที่ 1' ปีแรกของแผน 1 เป็น 8 → ติ๊ก Online → บันทึกร่าง</t>
  </si>
  <si>
    <t xml:space="preserve">ศศ.ม. (แผน 1/แผน 2)</t>
  </si>
  <si>
    <t xml:space="preserve">เห็นตารางแยก 'แผน 1' และ 'แผน 2' · ค่าที่แก้คงอยู่ · รูปแบบการสอนมีป้าย 'อนุมาน'</t>
  </si>
  <si>
    <t xml:space="preserve">D-7</t>
  </si>
  <si>
    <t xml:space="preserve">6 โครงสร้าง</t>
  </si>
  <si>
    <t xml:space="preserve">แก้หน่วยกิตรวมแล้ว checks เปลี่ยนทันที</t>
  </si>
  <si>
    <t xml:space="preserve">แก้ 'หน่วยกิตตลอดหลักสูตร' 36 → 40 → บันทึกร่าง → เปิดแท็บ 'AI ตรวจความสอดคล้อง'</t>
  </si>
  <si>
    <t xml:space="preserve">ขึ้น 'พบปัญหา' 2 ข้อ (ผลรวมหมวด 36 ≠ 40 และ หมวด 1 ≠ หมวด 4) · มีข้อความ 'คำนวณใหม่จากข้อมูลที่แก้ไขแล้ว เมื่อ …' · ตัวนับใน sidebar เปลี่ยน · แก้กลับเป็น 36 แล้วบันทึก → หายไป</t>
  </si>
  <si>
    <t xml:space="preserve">D-8</t>
  </si>
  <si>
    <t xml:space="preserve">4 PLO</t>
  </si>
  <si>
    <t xml:space="preserve">แก้ข้อความ PLO</t>
  </si>
  <si>
    <t xml:space="preserve">แก้ข้อความ PLO1 → บันทึกร่าง → แท็บ Preview</t>
  </si>
  <si>
    <t xml:space="preserve">ไฟล์ 4-plos.md ใน Preview แสดงข้อความใหม่ (ไม่ต้องสกัดซ้ำ)</t>
  </si>
  <si>
    <t xml:space="preserve">D-9</t>
  </si>
  <si>
    <t xml:space="preserve">5 KSEC</t>
  </si>
  <si>
    <t xml:space="preserve">เพิ่ม/ลบรายการ KSEC</t>
  </si>
  <si>
    <t xml:space="preserve">กด '+ เพิ่มรายการ' ใน PLO1 ใส่รหัส K1-9 ข้อความทดสอบ → บันทึก → ลบรายการนั้น → บันทึก</t>
  </si>
  <si>
    <t xml:space="preserve">เพิ่มแล้วตัวนับ +1, ลบแล้วกลับเท่าเดิม ไม่มี error</t>
  </si>
  <si>
    <t xml:space="preserve">D-10</t>
  </si>
  <si>
    <t xml:space="preserve">7 ชุดวิชา</t>
  </si>
  <si>
    <t xml:space="preserve">แก้คำอธิบายชุดวิชา</t>
  </si>
  <si>
    <t xml:space="preserve">แก้คำอธิบายชุดวิชาแรก → บันทึกร่าง → Preview</t>
  </si>
  <si>
    <t xml:space="preserve">3b-modules.md แสดงคำอธิบายใหม่</t>
  </si>
  <si>
    <t xml:space="preserve">D-11</t>
  </si>
  <si>
    <t xml:space="preserve">8 รายวิชา</t>
  </si>
  <si>
    <t xml:space="preserve">แถวความมั่นใจต่ำแสดงเหตุผล</t>
  </si>
  <si>
    <t xml:space="preserve">เปิดเล่ม ปร.ด. (อ่านด้วยกฎ) ส่วนรายวิชา</t>
  </si>
  <si>
    <t xml:space="preserve">ปร.ด.</t>
  </si>
  <si>
    <t xml:space="preserve">แถวสีแดง 'ความมั่นใจต่ำ' มีกล่อง 'ต้องตรวจ: …' บอกว่าหมวด 4 ข้อ 2 กับข้อ 3 ขัดกัน (ศฐน722/723) พร้อมหน้า</t>
  </si>
  <si>
    <t xml:space="preserve">D-12</t>
  </si>
  <si>
    <t xml:space="preserve">9 Mapping</t>
  </si>
  <si>
    <t xml:space="preserve">สลับจุด ● และแก้รหัส 4.2</t>
  </si>
  <si>
    <t xml:space="preserve">คลิกช่อง PLO ของวิชาแรกให้สลับ ● → ในตาราง 4.2 พิมพ์เพิ่มรหัส K1-9 ในช่อง K1 → บันทึกร่าง</t>
  </si>
  <si>
    <t xml:space="preserve">จุดสลับได้ · รหัสใหม่คงอยู่ · checks ขึ้น 'ควรตรวจ' mapping_ksec_unknown มี K1-9</t>
  </si>
  <si>
    <t xml:space="preserve">D-13</t>
  </si>
  <si>
    <t xml:space="preserve">10 มติอนุมัติ</t>
  </si>
  <si>
    <t xml:space="preserve">กรอกมติที่เล่มเว้นว่าง</t>
  </si>
  <si>
    <t xml:space="preserve">แถว 'สภามหาวิทยาลัย' (สีแดง เล่มเว้นว่าง) กรอกครั้งที่ 1/2569 และวันที่ 1 มิถุนายน 2569 → บันทึก</t>
  </si>
  <si>
    <t xml:space="preserve">แถวหายจากสีแดง · ข้อความ 'ยังไม่มีมติ' เหลือแค่ อว.</t>
  </si>
  <si>
    <t xml:space="preserve">D-14</t>
  </si>
  <si>
    <t xml:space="preserve">ยืนยันส่วนแล้วไปส่วนถัดไปอัตโนมัติ</t>
  </si>
  <si>
    <t xml:space="preserve">ที่ส่วนที่ 1 กด 'ยืนยันส่วนนี้ แล้วไปส่วนถัดไป'</t>
  </si>
  <si>
    <t xml:space="preserve">sidebar ส่วนที่ 1 ขึ้น ✓ และหน้าเปลี่ยนไปส่วนที่ 2 (อาจารย์) · ตัวนับ 'ยืนยันแล้ว 1/10'</t>
  </si>
  <si>
    <t xml:space="preserve">D-15</t>
  </si>
  <si>
    <t xml:space="preserve">ยกเลิกยืนยัน</t>
  </si>
  <si>
    <t xml:space="preserve">กลับไปส่วนที่ 1 แก้ค่าแล้ว 'บันทึกร่าง' (ไม่ใช่ยืนยัน)</t>
  </si>
  <si>
    <t xml:space="preserve">✓ ของส่วนที่ 1 หายไป ตัวนับลด</t>
  </si>
  <si>
    <t xml:space="preserve">E-1</t>
  </si>
  <si>
    <t xml:space="preserve">E ปิดงาน</t>
  </si>
  <si>
    <t xml:space="preserve">Preview</t>
  </si>
  <si>
    <t xml:space="preserve">Preview แสดง Markdown 10 ไฟล์</t>
  </si>
  <si>
    <t xml:space="preserve">แท็บ 'Preview แบบเล่มหลักสูตร'</t>
  </si>
  <si>
    <t xml:space="preserve">เห็น 1-program_info, 8-teachers, 9-admission_plan, 2-course_structure, 4-plos, 4b-ksec, 3b-modules, 3-courses_list, 5-curriculum_mapping, 7-approval และปุ่ม book.md เปิดได้</t>
  </si>
  <si>
    <t xml:space="preserve">E-2</t>
  </si>
  <si>
    <t xml:space="preserve">บันทึกเข้าระบบ</t>
  </si>
  <si>
    <t xml:space="preserve">ปุ่มบันทึกปิดจนกว่าจะยืนยันอย่างน้อย 1 ส่วน</t>
  </si>
  <si>
    <t xml:space="preserve">งานใหม่ที่ยังไม่ยืนยัน ดูปุ่ม 'บันทึกเข้าระบบ (0/10)'</t>
  </si>
  <si>
    <t xml:space="preserve">ปุ่มเป็นสีเทา กดไม่ได้</t>
  </si>
  <si>
    <t xml:space="preserve">E-3</t>
  </si>
  <si>
    <t xml:space="preserve">/import/&lt;id&gt;/done</t>
  </si>
  <si>
    <t xml:space="preserve">บันทึกเข้าระบบแล้วหน้า done ถูกต้อง</t>
  </si>
  <si>
    <t xml:space="preserve">ยืนยัน ≥ 1 ส่วน → กด 'บันทึกเข้าระบบ'</t>
  </si>
  <si>
    <t xml:space="preserve">ไปหน้า done: ขั้นที่ 4 เขียว, KPI เวลา/LLM/หน้า, ตาราง 10 ส่วน บอกว่าส่วนไหนยืนยันแล้ว, ปุ่ม JSON/Markdown เปิดได้ทุกส่วน</t>
  </si>
  <si>
    <t xml:space="preserve">E-4</t>
  </si>
  <si>
    <t xml:space="preserve">งานที่ done ยังเปิดดูได้แต่แก้ไม่ได้</t>
  </si>
  <si>
    <t xml:space="preserve">กลับหน้า /import เปิดงานเดิม</t>
  </si>
  <si>
    <t xml:space="preserve">สถานะ 'บันทึกแล้ว' ปุ่มยืนยันถูกปิด</t>
  </si>
  <si>
    <t xml:space="preserve">F-1</t>
  </si>
  <si>
    <t xml:space="preserve">F AI</t>
  </si>
  <si>
    <t xml:space="preserve">สกัดด้วย AI</t>
  </si>
  <si>
    <t xml:space="preserve">งาน LLM จริงครบ 10 ส่วน</t>
  </si>
  <si>
    <t xml:space="preserve">เลือก 'Local AI · Gemma' อัปโหลดเล่มภูมิอากาศ (รันคนเดียว ไม่ใช่ช่วง 02:30–04:00)</t>
  </si>
  <si>
    <t xml:space="preserve">วท.บ. ภูมิอากาศ.docx</t>
  </si>
  <si>
    <t xml:space="preserve">ถึงหน้าตรวจภายใน 3 นาที (PM วัดได้ 57 s) · หน้า done: LLM 3 คำขอ ~10.8k/4.9k tokens · รายวิชา 57 · ทุก check ไม่มี 'พบปัญหา'</t>
  </si>
  <si>
    <t xml:space="preserve">F-2</t>
  </si>
  <si>
    <t xml:space="preserve">LLM ไม่แต่งข้อมูล</t>
  </si>
  <si>
    <t xml:space="preserve">เล่มภูมิอากาศเขียนรหัส สกอ. เป็น xxxx ดูส่วนที่ 1 หลังงาน AI</t>
  </si>
  <si>
    <t xml:space="preserve">รหัสหลักสูตร สกอ. ว่าง (ไม่ใช่เลขที่ AI เดา) · checks เตือน 'เล่มยังไม่ระบุรหัส'</t>
  </si>
  <si>
    <t xml:space="preserve">F-3</t>
  </si>
  <si>
    <t xml:space="preserve">เล่ม PDF ด้วย AI</t>
  </si>
  <si>
    <t xml:space="preserve">เหมือน F-1 กับเล่ม PDF อาหาร</t>
  </si>
  <si>
    <t xml:space="preserve">4.1.4 วท.บ. อาหาร.pdf</t>
  </si>
  <si>
    <t xml:space="preserve">เสร็จภายใน 5 นาที · รายวิชา 78 · ความมั่นใจต่ำ ≤ 3 วิชา</t>
  </si>
  <si>
    <t xml:space="preserve">G-1</t>
  </si>
  <si>
    <t xml:space="preserve">G server</t>
  </si>
  <si>
    <t xml:space="preserve">docker</t>
  </si>
  <si>
    <t xml:space="preserve">งานยังอยู่หลัง restart api</t>
  </si>
  <si>
    <t xml:space="preserve">PM: docker compose -f deploy/docker-compose.yml restart api → เปิด /import</t>
  </si>
  <si>
    <t xml:space="preserve">รายการงานเดิมครบ เปิดงานได้ ค่าที่แก้ไว้ยังอยู่ (เก็บใน Postgres)</t>
  </si>
  <si>
    <t xml:space="preserve">G-2</t>
  </si>
  <si>
    <t xml:space="preserve">worker ทำงานต่อหลัง restart ระหว่างมีคิว</t>
  </si>
  <si>
    <t xml:space="preserve">PM: อัปโหลด 1 งาน (AI) แล้ว restart worker ทันที</t>
  </si>
  <si>
    <t xml:space="preserve">งานกลับมาวิ่งใหม่หรือขึ้น 'ล้มเหลว' พร้อมข้อความ (ไม่ค้าง 'กำลังอ่าน' ตลอดไป) — บันทึกพฤติกรรมที่เห็น</t>
  </si>
  <si>
    <t xml:space="preserve">G-3</t>
  </si>
  <si>
    <t xml:space="preserve">ss -ltnp</t>
  </si>
  <si>
    <t xml:space="preserve">พอร์ตที่เปิดตามกติกาข้อ 8</t>
  </si>
  <si>
    <t xml:space="preserve">PM: ss -ltnp | grep -E '8100|5432|3000|8000'</t>
  </si>
  <si>
    <t xml:space="preserve">มีแค่ 100.104.172.122:8100 · ไม่มี 5432/3000/8000 บน 0.0.0.0</t>
  </si>
  <si>
    <t xml:space="preserve">G-4</t>
  </si>
  <si>
    <t xml:space="preserve">Ollama</t>
  </si>
  <si>
    <t xml:space="preserve">HRIS model ยัง pin หลังงาน AI</t>
  </si>
  <si>
    <t xml:space="preserve">PM: curl -s localhost:11434/api/ps หลังงาน F-1 เสร็จ</t>
  </si>
  <si>
    <t xml:space="preserve">gemma4:12b expires_at ปี 2319 (pin) · gemma4:26b หายไปภายใน 10 นาทีหลังงานเสร็จ</t>
  </si>
  <si>
    <t xml:space="preserve">G-5</t>
  </si>
  <si>
    <t xml:space="preserve">HRIS</t>
  </si>
  <si>
    <t xml:space="preserve">HRIS ยังตอบระหว่างงาน AI</t>
  </si>
  <si>
    <t xml:space="preserve">ระหว่างงาน F-1 ให้คนใช้ HRIS ลองถาม 3 คำถาม</t>
  </si>
  <si>
    <t xml:space="preserve">HRIS ตอบได้ (ช้าลงได้ไม่เกิน 2 เท่า ตามที่วัด 21 ต.ค. +75%)</t>
  </si>
  <si>
    <t xml:space="preserve">G-6</t>
  </si>
  <si>
    <t xml:space="preserve">backup</t>
  </si>
  <si>
    <t xml:space="preserve">pg_dump สำรองได้</t>
  </si>
  <si>
    <t xml:space="preserve">PM: คำสั่งใน deploy/README.md หัวข้อฐานข้อมูล</t>
  </si>
  <si>
    <t xml:space="preserve">ได้ไฟล์ .sql ขนาด &gt; 100 KB</t>
  </si>
  <si>
    <t xml:space="preserve">H-1</t>
  </si>
  <si>
    <t xml:space="preserve">H golden</t>
  </si>
  <si>
    <t xml:space="preserve">data/golden/&lt;เล่ม&gt;.md</t>
  </si>
  <si>
    <t xml:space="preserve">Admin ตรวจชีท golden กับเล่ม</t>
  </si>
  <si>
    <t xml:space="preserve">เปิดชีท golden ของเล่มภูมิอากาศ ติ๊ก ✓/✗ ทุกแถวเทียบเล่มจริง</t>
  </si>
  <si>
    <t xml:space="preserve">วท.บ. ภูมิอากาศ (เล่ม golden)</t>
  </si>
  <si>
    <t xml:space="preserve">หัวข้อหลักครบ 100% · ตาราง ≥ 95% แถวถูก · ส่งชีทที่ติ๊กกลับให้ PM คำนวณ %</t>
  </si>
  <si>
    <t xml:space="preserve">J-1</t>
  </si>
  <si>
    <t xml:space="preserve">J auth</t>
  </si>
  <si>
    <t xml:space="preserve">/login</t>
  </si>
  <si>
    <t xml:space="preserve">เปิดหน้าใดก็ได้โดยไม่ login → เด้งไปหน้า login</t>
  </si>
  <si>
    <t xml:space="preserve">เปิด http://100.104.172.122:8100/import ในหน้าต่างไม่ระบุตัวตน (incognito)</t>
  </si>
  <si>
    <t xml:space="preserve">ถูกพาไป /login หน้า login ตาม design (แถบแดงซ้าย การ์ดขวา) ไม่เห็นข้อมูลใด</t>
  </si>
  <si>
    <t xml:space="preserve">J-2</t>
  </si>
  <si>
    <t xml:space="preserve">บัวศรีไอดี/รหัสผ่านผิด</t>
  </si>
  <si>
    <t xml:space="preserve">กรอกไอดีถูก รหัสผิด กดเข้าสู่ระบบ</t>
  </si>
  <si>
    <t xml:space="preserve">บัญชี demo (ขอจาก PM)</t>
  </si>
  <si>
    <t xml:space="preserve">ข้อความ 'บัวศรีไอดีหรือรหัสผ่านไม่ถูกต้อง' ยังอยู่หน้า login</t>
  </si>
  <si>
    <t xml:space="preserve">J-3</t>
  </si>
  <si>
    <t xml:space="preserve">login ด้วยบัญชี admin/central</t>
  </si>
  <si>
    <t xml:space="preserve">กรอกบัญชี admin กดเข้าสู่ระบบ</t>
  </si>
  <si>
    <t xml:space="preserve">บัญชี demo admin</t>
  </si>
  <si>
    <t xml:space="preserve">ไปหน้า /import · มุมขวาบนแสดงชื่อ + บทบาท 'ผู้ดูแลระบบ · ผู้ดูแลส่วนกลาง' + ปุ่มออกจากระบบ</t>
  </si>
  <si>
    <t xml:space="preserve">J-4</t>
  </si>
  <si>
    <t xml:space="preserve">สิทธิ์</t>
  </si>
  <si>
    <t xml:space="preserve">บทบาท faculty ดูได้แต่แก้ไม่ได้</t>
  </si>
  <si>
    <t xml:space="preserve">ออกจากระบบ → login ด้วยบัญชี faculty → เปิดงานเดิม</t>
  </si>
  <si>
    <t xml:space="preserve">บัญชี demo faculty</t>
  </si>
  <si>
    <t xml:space="preserve">เห็นรายการงานและหน้าตรวจ แต่ปุ่มอัปโหลด/บันทึกร่าง/ยืนยัน/บันทึกเข้าระบบเป็นสีเทา มีข้อความแจ้งบนหน้าอัปโหลด</t>
  </si>
  <si>
    <t xml:space="preserve">J-5</t>
  </si>
  <si>
    <t xml:space="preserve">บทบาท teacher เข้าเมนูนี้ไม่ได้</t>
  </si>
  <si>
    <t xml:space="preserve">login ด้วยบัญชี teacher</t>
  </si>
  <si>
    <t xml:space="preserve">บัญชี demo teacher</t>
  </si>
  <si>
    <t xml:space="preserve">เห็นหน้า 'ไม่มีสิทธิ์ในเมนูนี้' พร้อมบทบาทของตน ไม่เห็นรายการงาน</t>
  </si>
  <si>
    <t xml:space="preserve">J-6</t>
  </si>
  <si>
    <t xml:space="preserve">API ตรง</t>
  </si>
  <si>
    <t xml:space="preserve">เรียก API โดยไม่ผ่านเว็บ → 401</t>
  </si>
  <si>
    <t xml:space="preserve">เปิด http://100.104.172.122:8100/api/imports ตรง ๆ ในเบราว์เซอร์</t>
  </si>
  <si>
    <t xml:space="preserve">HTTP 401 'ต้องเข้าสู่ระบบก่อน' (API รับเฉพาะ token ที่เว็บเซ็นให้)</t>
  </si>
  <si>
    <t xml:space="preserve">J-7</t>
  </si>
  <si>
    <t xml:space="preserve">ประวัติการแก้</t>
  </si>
  <si>
    <t xml:space="preserve">การแก้ถูกบันทึกชื่อผู้แก้จริง</t>
  </si>
  <si>
    <t xml:space="preserve">PM: หลังมีคนแก้ร่าง ดู history ใน Postgres (import_parts.history → by)</t>
  </si>
  <si>
    <t xml:space="preserve">by = อีเมลของคนที่ login ไม่ใช่ค่าที่ส่งมาจากหน้าเว็บ</t>
  </si>
  <si>
    <t xml:space="preserve">J-8</t>
  </si>
  <si>
    <t xml:space="preserve">ออกจากระบบ</t>
  </si>
  <si>
    <t xml:space="preserve">ออกจากระบบแล้วกลับเข้าไม่ได้</t>
  </si>
  <si>
    <t xml:space="preserve">กด 'ออกจากระบบ' → กด back ของเบราว์เซอร์ → รีเฟรช</t>
  </si>
  <si>
    <t xml:space="preserve">ถูกพาไป /login ทุกครั้ง</t>
  </si>
  <si>
    <t xml:space="preserve">I-1</t>
  </si>
  <si>
    <t xml:space="preserve">I API</t>
  </si>
  <si>
    <t xml:space="preserve">/api/imports/&lt;id&gt;/parts/&lt;key&gt;</t>
  </si>
  <si>
    <t xml:space="preserve">ส่วนที่ไม่มีชื่อ → 404</t>
  </si>
  <si>
    <t xml:space="preserve">เปิด http://100.104.172.122:8100/api/imports/&lt;id&gt;/parts/nope</t>
  </si>
  <si>
    <t xml:space="preserve">HTTP 404</t>
  </si>
  <si>
    <t xml:space="preserve">I-2</t>
  </si>
  <si>
    <t xml:space="preserve">/api/imports/&lt;id&gt;/files</t>
  </si>
  <si>
    <t xml:space="preserve">กันอ่านไฟล์นอกโฟลเดอร์งาน</t>
  </si>
  <si>
    <t xml:space="preserve">เปิด http://100.104.172.122:8100/api/imports/&lt;id&gt;/files/../../etc/passwd</t>
  </si>
  <si>
    <t xml:space="preserve">HTTP 404 'ไม่พบไฟล์'</t>
  </si>
  <si>
    <t xml:space="preserve">I-3</t>
  </si>
  <si>
    <t xml:space="preserve">/api/imports/&lt;id&gt;/checks</t>
  </si>
  <si>
    <t xml:space="preserve">checks ของงานที่ยังไม่สกัด = []</t>
  </si>
  <si>
    <t xml:space="preserve">สร้างงาน AI แล้วเรียก /checks ทันทีขณะสถานะ 'กำลังอ่าน'</t>
  </si>
  <si>
    <t xml:space="preserve">ได้ [] ไม่ error</t>
  </si>
  <si>
    <t xml:space="preserve">K-1</t>
  </si>
  <si>
    <t xml:space="preserve">K workflow</t>
  </si>
  <si>
    <t xml:space="preserve">/curricula</t>
  </si>
  <si>
    <t xml:space="preserve">เมนู 'คู่มือหลักสูตรตาม TOR' แสดงรายการ + ตัวนับ 4 สถานะ</t>
  </si>
  <si>
    <t xml:space="preserve">login admin → เมนูซ้าย คู่มือหลักสูตร → คู่มือหลักสูตรตาม TOR</t>
  </si>
  <si>
    <t xml:space="preserve">งานที่กด 'บันทึกเข้าระบบ' แล้ว</t>
  </si>
  <si>
    <t xml:space="preserve">การ์ด 4 ใบ: ร่างนำเข้าหลักสูตร / คณะตรวจสอบ / ตรวจสอบสำเร็จ / เผยแพร่แล้ว ตัวเลขรวมเท่าจำนวนแถวในตาราง · คลิกการ์ดเพื่อกรองได้</t>
  </si>
  <si>
    <t xml:space="preserve">K-2</t>
  </si>
  <si>
    <t xml:space="preserve">หน้า 'บันทึกแล้ว' มีปุ่มเปิดคู่มือหลักสูตร</t>
  </si>
  <si>
    <t xml:space="preserve">ปิดงานใดงานหนึ่ง (E) → หน้า done</t>
  </si>
  <si>
    <t xml:space="preserve">กล่องเขียว 'บันทึกเป็นคู่มือหลักสูตรสถานะ 1. ร่างนำเข้าหลักสูตร' + ปุ่ม 'เปิดคู่มือหลักสูตร' พาไป /curricula/&lt;n&gt; ของงานนั้น</t>
  </si>
  <si>
    <t xml:space="preserve">K-3</t>
  </si>
  <si>
    <t xml:space="preserve">/curricula/&lt;n&gt;</t>
  </si>
  <si>
    <t xml:space="preserve">ส่งให้คณะตรวจสอบ (admin/central/curator)</t>
  </si>
  <si>
    <t xml:space="preserve">เปิดคู่มือสถานะร่าง → พิมพ์หมายเหตุ → กด 'ส่งให้คณะตรวจสอบ'</t>
  </si>
  <si>
    <t xml:space="preserve">สถานะเป็น 'คณะตรวจสอบ' ขั้นตอน 1 ติ๊ก ✓ · แสดง 'กำหนดตรวจภายใน &lt;วันที่&gt;' = วันนี้ + 5 วันทำการ (ข้ามเสาร์-อาทิตย์) · ประวัติมีแถว 'ส่งให้คณะตรวจสอบ' พร้อมอีเมลผู้กดและหมายเหตุ</t>
  </si>
  <si>
    <t xml:space="preserve">K-4</t>
  </si>
  <si>
    <t xml:space="preserve">faculty: ติ๊กหมวด 3 และ 4 แล้วกด 'ตรวจสอบสำเร็จ'</t>
  </si>
  <si>
    <t xml:space="preserve">ออกจากระบบ → login faculty → เปิดคู่มือเดิม → ติ๊ก 'หมวด 3' → ติ๊ก 'หมวด 4' → กด 'ตรวจสอบสำเร็จ'</t>
  </si>
  <si>
    <t xml:space="preserve">ก่อนติ๊กครบ ปุ่ม 'ตรวจสอบสำเร็จ' กดไม่ได้ · ติ๊กแต่ละครั้งบันทึกทันที (รีเฟรชแล้วยังติ๊กอยู่) · หลังกด สถานะ 'ตรวจสอบสำเร็จ' + กล่อง 'ข้อมูลถูกล็อก…' · ประวัติมี 2 แถว 'ติ๊กตรวจสอบหมวด' + 1 แถว 'ตรวจสอบสำเร็จ'</t>
  </si>
  <si>
    <t xml:space="preserve">K-5</t>
  </si>
  <si>
    <t xml:space="preserve">faculty แก้ได้เฉพาะหมวด 3–4 ระหว่างคณะตรวจสอบ</t>
  </si>
  <si>
    <t xml:space="preserve">ทำอีกคู่มือ: admin ส่งให้คณะตรวจสอบ → login faculty → เปิด 'ข้อมูลที่นำเข้า' → แก้ PLO แล้วบันทึกร่าง → แก้รายวิชาแล้วบันทึกร่าง</t>
  </si>
  <si>
    <t xml:space="preserve">หน้าตรวจมีกล่องเหลือง 'อยู่ระหว่างคณะตรวจสอบ · แก้ได้เฉพาะหมวด 3–4' · PLO/KSEC/Mapping บันทึกได้ · รายวิชา/หมวดอื่นถูกปฏิเสธ (ข้อความ 'บัญชีนี้ไม่มีสิทธิ์แก้ไขส่วนนี้')</t>
  </si>
  <si>
    <t xml:space="preserve">K-6</t>
  </si>
  <si>
    <t xml:space="preserve">faculty ส่งคืนส่วนกลางพร้อมเหตุผล</t>
  </si>
  <si>
    <t xml:space="preserve">login faculty → คู่มือสถานะคณะตรวจสอบ → พิมพ์หมายเหตุ → กด 'ส่งคืนส่วนกลาง'</t>
  </si>
  <si>
    <t xml:space="preserve">ไม่พิมพ์หมายเหตุปุ่มกดไม่ได้ · หลังกด สถานะกลับเป็น 'ร่างนำเข้าหลักสูตร' กำหนดตรวจหาย · ส่งใหม่แล้วติ๊กหมวดเดิมถูกล้าง</t>
  </si>
  <si>
    <t xml:space="preserve">K-7</t>
  </si>
  <si>
    <t xml:space="preserve">/import/&lt;id&gt;</t>
  </si>
  <si>
    <t xml:space="preserve">หลังตรวจสอบสำเร็จ ข้อมูลถูกล็อกทุกบทบาท</t>
  </si>
  <si>
    <t xml:space="preserve">login admin → เปิด 'ข้อมูลที่นำเข้า' ของคู่มือที่ตรวจสอบสำเร็จ → แก้ค่าใดก็ได้ → บันทึกร่าง</t>
  </si>
  <si>
    <t xml:space="preserve">กล่องฟ้า 'คู่มือหลักสูตรนี้ ตรวจสอบสำเร็จ แล้ว ข้อมูลถูกล็อก' · บันทึกถูกปฏิเสธ ข้อความ 'ถูกล็อก แก้ได้ผ่าน สมอ.08 เท่านั้น'</t>
  </si>
  <si>
    <t xml:space="preserve">K-8</t>
  </si>
  <si>
    <t xml:space="preserve">เปิด/ปิดการเผยแพร่ (admin/central เท่านั้น)</t>
  </si>
  <si>
    <t xml:space="preserve">login admin → คู่มือสถานะตรวจสอบสำเร็จ → 'เปิดเผยแพร่' → 'ปิดการเผยแพร่'</t>
  </si>
  <si>
    <t xml:space="preserve">สถานะ 'เผยแพร่แล้ว' แล้วกลับเป็น 'ตรวจสอบสำเร็จ' · login faculty ไม่เห็นปุ่มเผยแพร่ (ข้อความ 'เปิด/ปิดการเผยแพร่โดยผู้ดูแลส่วนกลาง')</t>
  </si>
  <si>
    <t xml:space="preserve">K-9</t>
  </si>
  <si>
    <t xml:space="preserve">faculty กด 'ส่งให้คณะตรวจสอบ' ไม่ได้ · admin ข้ามขั้นไม่ได้</t>
  </si>
  <si>
    <t xml:space="preserve">login faculty → คู่มือสถานะร่าง · PM: เรียก API POST /api/curricula/&lt;n&gt;/transition action=publish กับคู่มือสถานะร่าง</t>
  </si>
  <si>
    <t xml:space="preserve">faculty: ปุ่มส่งตรวจเป็นสีเทา + ข้อความ 'เฉพาะผู้ดูแลส่วนกลาง/ผู้ตรวจสอบระดับหลักสูตร' · API ตอบ 409 'ทำ เปิดเผยแพร่ ได้เฉพาะเมื่อสถานะเป็น ตรวจสอบสำเร็จ'</t>
  </si>
  <si>
    <t xml:space="preserve">K-10</t>
  </si>
  <si>
    <t xml:space="preserve">เวลาในประวัติเป็นเวลาไทย</t>
  </si>
  <si>
    <t xml:space="preserve">ดูคอลัมน์ 'วันเวลา' ของประวัติการดำเนินการหลังทำขั้นใดขั้นหนึ่ง</t>
  </si>
  <si>
    <t xml:space="preserve">ตรงกับนาฬิกาเครื่อง (เขตเวลา Asia/Bangkok) ไม่ช้า 7 ชั่วโมง</t>
  </si>
  <si>
    <t xml:space="preserve">เล่ม</t>
  </si>
  <si>
    <t xml:space="preserve">ไฟล์</t>
  </si>
  <si>
    <t xml:space="preserve">หน้า</t>
  </si>
  <si>
    <t xml:space="preserve">1 ข้อมูลหลัก (ฟิลด์)</t>
  </si>
  <si>
    <t xml:space="preserve">2 อาจารย์ (คน / ผู้รับผิดชอบ)</t>
  </si>
  <si>
    <t xml:space="preserve">3 แผนรับ (ตาราง / รับปีละ)</t>
  </si>
  <si>
    <t xml:space="preserve">5 KSEC (รายการ)</t>
  </si>
  <si>
    <t xml:space="preserve">6 โครงสร้าง (แถว)</t>
  </si>
  <si>
    <t xml:space="preserve">9 Mapping 4.1 แถว / 4.2 แถว</t>
  </si>
  <si>
    <t xml:space="preserve">10 มติ (อ่านได้ / เล่มเว้นว่าง)</t>
  </si>
  <si>
    <t xml:space="preserve">เวลาอ่านด้วยกฎ (server)</t>
  </si>
  <si>
    <t xml:space="preserve">เวลา AI (server)</t>
  </si>
  <si>
    <t xml:space="preserve">checks ที่คาด (ควรตรวจ)</t>
  </si>
  <si>
    <t xml:space="preserve">วท.บ. วิทยาการการเปลี่ยนแปลงสภาพภูมิอากาศ (เล่ม golden)</t>
  </si>
  <si>
    <t xml:space="preserve">วท.บ. วิทยาการการเปลี่ยนแปลงสภาพภูมิอากาศ.docx</t>
  </si>
  <si>
    <t xml:space="preserve">12 / 5</t>
  </si>
  <si>
    <t xml:space="preserve">1 / 50</t>
  </si>
  <si>
    <t xml:space="preserve">57 / 57</t>
  </si>
  <si>
    <t xml:space="preserve">3 / 0</t>
  </si>
  <si>
    <t xml:space="preserve">≈ 1 s</t>
  </si>
  <si>
    <t xml:space="preserve">57 s (3 คำขอ)</t>
  </si>
  <si>
    <t xml:space="preserve">รหัส สกอ. เป็น xxxx (warn) · mapping_ksec_unknown 3 รหัส · mapping_42_vs_41 1 วิชา · อว. รับทราบยังไม่มี · รูปแบบการสอนอนุมาน (info)</t>
  </si>
  <si>
    <t xml:space="preserve">วท.บ. วิทยาศาสตร์การอาหารและโภชนาการ (PDF)</t>
  </si>
  <si>
    <t xml:space="preserve">4.1.4 วท.บ.วิทยาศาสตร์การอาหารและโภชนาการ ปรั.pdf</t>
  </si>
  <si>
    <t xml:space="preserve">6 / 5</t>
  </si>
  <si>
    <t xml:space="preserve">1 / 70</t>
  </si>
  <si>
    <t xml:space="preserve">71 / 78</t>
  </si>
  <si>
    <t xml:space="preserve">1 / 3</t>
  </si>
  <si>
    <t xml:space="preserve">≈ 50 s (PDF)</t>
  </si>
  <si>
    <t xml:space="preserve">≈ 1–2 นาที</t>
  </si>
  <si>
    <t xml:space="preserve">4.1 มี 71 แถว ขาด 7 วิชาเทียบรายวิชา (warn) · mapping_ksec_unknown 19 · mapping_42_vs_41 15 · มติเว้นว่าง 3 ระดับ · วอภ281/481 อยู่ 2 ชุดวิชา</t>
  </si>
  <si>
    <t xml:space="preserve">ปร.ด. เศรษฐศาสตร์เพื่อการพัฒนาอย่างยั่งยืน</t>
  </si>
  <si>
    <t xml:space="preserve">ปร.ด. เศรษฐศาสตร์เพื่อการพัฒนาอย่างยั่งยื.docx</t>
  </si>
  <si>
    <t xml:space="preserve">15 / 3</t>
  </si>
  <si>
    <t xml:space="preserve">2 / 10 (แผน 1+2)</t>
  </si>
  <si>
    <t xml:space="preserve">21 / 22</t>
  </si>
  <si>
    <t xml:space="preserve">≈ 30 s</t>
  </si>
  <si>
    <t xml:space="preserve">รายวิชาความมั่นใจต่ำ 3 (ศฐน722/723 สลับระหว่างข้อ 2 กับ 3) · ศฐน723 อยู่ใน 4.2 แต่ไม่อยู่ 4.1 · mapping_42_vs_41 10 วิชา</t>
  </si>
  <si>
    <t xml:space="preserve">ศศ.บ. การจัดการภูมิสังคมและวัฒนธรรม (ปป.69)</t>
  </si>
  <si>
    <t xml:space="preserve">ศศ.บ. การจัดการภูมิสังคมและวัฒนธรรม (ปป.69).docx</t>
  </si>
  <si>
    <t xml:space="preserve">6 / 6 (2 วิชาเอก)</t>
  </si>
  <si>
    <t xml:space="preserve">2 / 100 (ต่อวิชาเอก)</t>
  </si>
  <si>
    <t xml:space="preserve">90 / 87</t>
  </si>
  <si>
    <t xml:space="preserve">≈ 2 s</t>
  </si>
  <si>
    <t xml:space="preserve">≈ 1.5 นาที</t>
  </si>
  <si>
    <t xml:space="preserve">PLO6 ของหมวด 3 ไม่มีคอลัมน์ใน Mapping 4.1 (warn) · กจส331–333 ไม่อยู่ใน 4.2 · ชุดวิชาไม่มีคำอธิบาย 2 ชุด · รายวิชาความมั่นใจต่ำ 6</t>
  </si>
  <si>
    <t xml:space="preserve">ศศ.ม. เศรษฐศาสตร์ธุรกิจและการจัดการ (ปป.69)</t>
  </si>
  <si>
    <t xml:space="preserve">ศศ.ม. เศรษฐศาสตร์ธุรกิจและการจัดการ (ปป.69).docx</t>
  </si>
  <si>
    <t xml:space="preserve">2 / 10 (แผน 1/2 คอลัมน์ย่อย)</t>
  </si>
  <si>
    <t xml:space="preserve">3 (×2 แผน ใน KSEC)</t>
  </si>
  <si>
    <t xml:space="preserve">16 / 16</t>
  </si>
  <si>
    <t xml:space="preserve">2 / 1 (สภามหาวิทยาลัย)</t>
  </si>
  <si>
    <t xml:space="preserve">≈ 0.3 s</t>
  </si>
  <si>
    <t xml:space="preserve">≈ 20 s</t>
  </si>
  <si>
    <t xml:space="preserve">มติสภามหาวิทยาลัยเว้นว่าง · mapping_ksec_unknown 2 (S1-2, S2-3) · วิทยานิพนธ์ไม่อยู่ใน Mapping (17 vs 16)</t>
  </si>
  <si>
    <t xml:space="preserve">ที่มา: ผล `ocl extract --no-llm` และงานบน server 21–22 ต.ค. 2569 (commit b0ab91a) · ตัวเลขเวลาเป็นค่าที่ PM วัดได้ ใช้เป็นแนว ไม่ใช่เกณฑ์ตก · ถ้าตัวเลขต่างเพราะเล่มเวอร์ชันใหม่ ให้บันทึกในหมายเหตุ ไม่ถือว่าไม่ผ่าน</t>
  </si>
  <si>
    <t xml:space="preserve">Issue ID</t>
  </si>
  <si>
    <t xml:space="preserve">Test ID</t>
  </si>
  <si>
    <t xml:space="preserve">ความรุนแรง</t>
  </si>
  <si>
    <t xml:space="preserve">อาการ</t>
  </si>
  <si>
    <t xml:space="preserve">ขั้นตอนทำซ้ำ</t>
  </si>
  <si>
    <t xml:space="preserve">เล่ม/งาน (job id)</t>
  </si>
  <si>
    <t xml:space="preserve">ที่คาด vs ที่ได้</t>
  </si>
  <si>
    <t xml:space="preserve">screenshot (ชื่อไฟล์)</t>
  </si>
  <si>
    <t xml:space="preserve">ผู้รายงาน</t>
  </si>
  <si>
    <t xml:space="preserve">ผู้แก้ / หมายเหตุ</t>
  </si>
  <si>
    <t xml:space="preserve">ISS-0</t>
  </si>
  <si>
    <t xml:space="preserve">ปานกลาง</t>
  </si>
  <si>
    <t xml:space="preserve">(ตัวอย่าง) หลังแก้หน่วยกิตแล้ว checks ไม่เปลี่ยน</t>
  </si>
  <si>
    <t xml:space="preserve">1. เปิดงาน ศศ.ม. 2. ส่วนโครงสร้าง แก้ 36→40 3. บันทึกร่าง 4. แท็บ checks</t>
  </si>
  <si>
    <t xml:space="preserve">ศศ.ม. / ec225c6350ea</t>
  </si>
  <si>
    <t xml:space="preserve">คาด: พบปัญหา 2 ข้อ · ได้: ผ่านเหมือนเดิม</t>
  </si>
  <si>
    <t xml:space="preserve">iss0-checks.png</t>
  </si>
  <si>
    <t xml:space="preserve">เปิด</t>
  </si>
  <si>
    <t xml:space="preserve">สรุปผลการทดสอบ (คำนวณจากชีต Test cases คอลัมน์ I ไม่ต้องกรอก)</t>
  </si>
  <si>
    <t xml:space="preserve">ทั้งหมด</t>
  </si>
  <si>
    <t xml:space="preserve">ไม่ผ่าน</t>
  </si>
  <si>
    <t xml:space="preserve">ข้าม</t>
  </si>
  <si>
    <t xml:space="preserve">บล็อก</t>
  </si>
  <si>
    <t xml:space="preserve">ยังไม่ทดสอบ</t>
  </si>
  <si>
    <t xml:space="preserve">% ผ่าน (ของที่ทดสอบแล้ว)</t>
  </si>
  <si>
    <t xml:space="preserve">รวม</t>
  </si>
  <si>
    <t xml:space="preserve">Issue เปิดอยู่</t>
  </si>
  <si>
    <t xml:space="preserve">Issue ความรุนแรงสูงที่ยังไม่ปิด</t>
  </si>
  <si>
    <t xml:space="preserve">เกณฑ์ปิดรอบทดสอบ POC: ไม่มี 'ไม่ผ่าน' ในหมวด A–E และ G · Issue ความรุนแรงสูง = 0 · H golden ตาราง ≥ 95%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</si>
</sst>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Noto Sans"/>
      <family val="2"/>
    </font>
    <font>
      <sz val="10"/>
      <name val="Arial"/>
      <family val="2"/>
    </font>
    <font>
      <i val="true"/>
      <sz val="9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E1B2B"/>
        <bgColor rgb="FF993366"/>
      </patternFill>
    </fill>
    <fill>
      <patternFill patternType="solid">
        <fgColor rgb="FFEDEDED"/>
        <bgColor rgb="FFFFF2CC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9E1B2B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E1B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23.8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26"/>
    <col collapsed="false" customWidth="true" hidden="false" outlineLevel="0" max="7" min="7" style="0" width="52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24"/>
  </cols>
  <sheetData>
    <row r="1" customFormat="false" ht="15" hidden="false" customHeight="fals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</row>
    <row r="2" customFormat="false" ht="15" hidden="false" customHeight="false" outlineLevel="0" collapsed="false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33</v>
      </c>
    </row>
    <row r="3" customFormat="false" ht="23.85" hidden="false" customHeight="false" outlineLevel="0" collapsed="false">
      <c r="A3" s="6" t="s">
        <v>39</v>
      </c>
      <c r="B3" s="6" t="s">
        <v>40</v>
      </c>
      <c r="C3" s="6" t="s">
        <v>30</v>
      </c>
      <c r="D3" s="6" t="s">
        <v>41</v>
      </c>
      <c r="E3" s="6" t="s">
        <v>42</v>
      </c>
      <c r="F3" s="6" t="s">
        <v>33</v>
      </c>
      <c r="G3" s="6" t="s">
        <v>43</v>
      </c>
      <c r="H3" s="7"/>
      <c r="I3" s="7"/>
      <c r="J3" s="7"/>
      <c r="K3" s="7"/>
      <c r="L3" s="7"/>
    </row>
    <row r="4" customFormat="false" ht="35.05" hidden="false" customHeight="false" outlineLevel="0" collapsed="false">
      <c r="A4" s="6" t="s">
        <v>44</v>
      </c>
      <c r="B4" s="6" t="s">
        <v>40</v>
      </c>
      <c r="C4" s="6" t="s">
        <v>45</v>
      </c>
      <c r="D4" s="6" t="s">
        <v>46</v>
      </c>
      <c r="E4" s="6" t="s">
        <v>47</v>
      </c>
      <c r="F4" s="6" t="s">
        <v>33</v>
      </c>
      <c r="G4" s="6" t="s">
        <v>48</v>
      </c>
      <c r="H4" s="7"/>
      <c r="I4" s="7"/>
      <c r="J4" s="7"/>
      <c r="K4" s="7"/>
      <c r="L4" s="7"/>
    </row>
    <row r="5" customFormat="false" ht="23.85" hidden="false" customHeight="false" outlineLevel="0" collapsed="false">
      <c r="A5" s="6" t="s">
        <v>49</v>
      </c>
      <c r="B5" s="6" t="s">
        <v>40</v>
      </c>
      <c r="C5" s="6" t="s">
        <v>45</v>
      </c>
      <c r="D5" s="6" t="s">
        <v>50</v>
      </c>
      <c r="E5" s="6" t="s">
        <v>51</v>
      </c>
      <c r="F5" s="6" t="s">
        <v>33</v>
      </c>
      <c r="G5" s="6" t="s">
        <v>52</v>
      </c>
      <c r="H5" s="7"/>
      <c r="I5" s="7"/>
      <c r="J5" s="7"/>
      <c r="K5" s="7"/>
      <c r="L5" s="7"/>
    </row>
    <row r="6" customFormat="false" ht="15" hidden="false" customHeight="false" outlineLevel="0" collapsed="false">
      <c r="A6" s="6" t="s">
        <v>53</v>
      </c>
      <c r="B6" s="6" t="s">
        <v>54</v>
      </c>
      <c r="C6" s="6" t="s">
        <v>45</v>
      </c>
      <c r="D6" s="6" t="s">
        <v>55</v>
      </c>
      <c r="E6" s="6" t="s">
        <v>56</v>
      </c>
      <c r="F6" s="6" t="s">
        <v>57</v>
      </c>
      <c r="G6" s="6" t="s">
        <v>58</v>
      </c>
      <c r="H6" s="7"/>
      <c r="I6" s="7"/>
      <c r="J6" s="7"/>
      <c r="K6" s="7"/>
      <c r="L6" s="7"/>
    </row>
    <row r="7" customFormat="false" ht="15" hidden="false" customHeight="false" outlineLevel="0" collapsed="false">
      <c r="A7" s="6" t="s">
        <v>59</v>
      </c>
      <c r="B7" s="6" t="s">
        <v>54</v>
      </c>
      <c r="C7" s="6" t="s">
        <v>45</v>
      </c>
      <c r="D7" s="6" t="s">
        <v>60</v>
      </c>
      <c r="E7" s="6" t="s">
        <v>61</v>
      </c>
      <c r="F7" s="6" t="s">
        <v>62</v>
      </c>
      <c r="G7" s="6" t="s">
        <v>63</v>
      </c>
      <c r="H7" s="7"/>
      <c r="I7" s="7"/>
      <c r="J7" s="7"/>
      <c r="K7" s="7"/>
      <c r="L7" s="7"/>
    </row>
    <row r="8" customFormat="false" ht="23.85" hidden="false" customHeight="false" outlineLevel="0" collapsed="false">
      <c r="A8" s="6" t="s">
        <v>64</v>
      </c>
      <c r="B8" s="6" t="s">
        <v>54</v>
      </c>
      <c r="C8" s="6" t="s">
        <v>45</v>
      </c>
      <c r="D8" s="6" t="s">
        <v>65</v>
      </c>
      <c r="E8" s="6" t="s">
        <v>66</v>
      </c>
      <c r="F8" s="6" t="s">
        <v>67</v>
      </c>
      <c r="G8" s="6" t="s">
        <v>68</v>
      </c>
      <c r="H8" s="7"/>
      <c r="I8" s="7"/>
      <c r="J8" s="7"/>
      <c r="K8" s="7"/>
      <c r="L8" s="7"/>
    </row>
    <row r="9" customFormat="false" ht="23.85" hidden="false" customHeight="false" outlineLevel="0" collapsed="false">
      <c r="A9" s="6" t="s">
        <v>69</v>
      </c>
      <c r="B9" s="6" t="s">
        <v>54</v>
      </c>
      <c r="C9" s="6" t="s">
        <v>45</v>
      </c>
      <c r="D9" s="6" t="s">
        <v>70</v>
      </c>
      <c r="E9" s="6" t="s">
        <v>71</v>
      </c>
      <c r="F9" s="6" t="s">
        <v>72</v>
      </c>
      <c r="G9" s="6" t="s">
        <v>73</v>
      </c>
      <c r="H9" s="7"/>
      <c r="I9" s="7"/>
      <c r="J9" s="7"/>
      <c r="K9" s="7"/>
      <c r="L9" s="7"/>
    </row>
    <row r="10" customFormat="false" ht="23.85" hidden="false" customHeight="false" outlineLevel="0" collapsed="false">
      <c r="A10" s="6" t="s">
        <v>74</v>
      </c>
      <c r="B10" s="6" t="s">
        <v>54</v>
      </c>
      <c r="C10" s="6" t="s">
        <v>45</v>
      </c>
      <c r="D10" s="6" t="s">
        <v>75</v>
      </c>
      <c r="E10" s="6" t="s">
        <v>76</v>
      </c>
      <c r="F10" s="6" t="s">
        <v>77</v>
      </c>
      <c r="G10" s="6" t="s">
        <v>78</v>
      </c>
      <c r="H10" s="7"/>
      <c r="I10" s="7"/>
      <c r="J10" s="7"/>
      <c r="K10" s="7"/>
      <c r="L10" s="7"/>
    </row>
    <row r="11" customFormat="false" ht="23.85" hidden="false" customHeight="false" outlineLevel="0" collapsed="false">
      <c r="A11" s="6" t="s">
        <v>79</v>
      </c>
      <c r="B11" s="6" t="s">
        <v>54</v>
      </c>
      <c r="C11" s="6" t="s">
        <v>45</v>
      </c>
      <c r="D11" s="6" t="s">
        <v>80</v>
      </c>
      <c r="E11" s="6" t="s">
        <v>81</v>
      </c>
      <c r="F11" s="6" t="s">
        <v>82</v>
      </c>
      <c r="G11" s="6" t="s">
        <v>83</v>
      </c>
      <c r="H11" s="7"/>
      <c r="I11" s="7"/>
      <c r="J11" s="7"/>
      <c r="K11" s="7"/>
      <c r="L11" s="7"/>
    </row>
    <row r="12" customFormat="false" ht="23.85" hidden="false" customHeight="false" outlineLevel="0" collapsed="false">
      <c r="A12" s="6" t="s">
        <v>84</v>
      </c>
      <c r="B12" s="6" t="s">
        <v>85</v>
      </c>
      <c r="C12" s="6" t="s">
        <v>86</v>
      </c>
      <c r="D12" s="6" t="s">
        <v>87</v>
      </c>
      <c r="E12" s="6" t="s">
        <v>88</v>
      </c>
      <c r="F12" s="6" t="s">
        <v>89</v>
      </c>
      <c r="G12" s="6" t="s">
        <v>90</v>
      </c>
      <c r="H12" s="7"/>
      <c r="I12" s="7"/>
      <c r="J12" s="7"/>
      <c r="K12" s="7"/>
      <c r="L12" s="7"/>
    </row>
    <row r="13" customFormat="false" ht="23.85" hidden="false" customHeight="false" outlineLevel="0" collapsed="false">
      <c r="A13" s="6" t="s">
        <v>91</v>
      </c>
      <c r="B13" s="6" t="s">
        <v>85</v>
      </c>
      <c r="C13" s="6" t="s">
        <v>86</v>
      </c>
      <c r="D13" s="6" t="s">
        <v>92</v>
      </c>
      <c r="E13" s="6" t="s">
        <v>93</v>
      </c>
      <c r="F13" s="6" t="s">
        <v>94</v>
      </c>
      <c r="G13" s="6" t="s">
        <v>95</v>
      </c>
      <c r="H13" s="7"/>
      <c r="I13" s="7"/>
      <c r="J13" s="7"/>
      <c r="K13" s="7"/>
      <c r="L13" s="7"/>
    </row>
    <row r="14" customFormat="false" ht="23.85" hidden="false" customHeight="false" outlineLevel="0" collapsed="false">
      <c r="A14" s="6" t="s">
        <v>96</v>
      </c>
      <c r="B14" s="6" t="s">
        <v>85</v>
      </c>
      <c r="C14" s="6" t="s">
        <v>97</v>
      </c>
      <c r="D14" s="6" t="s">
        <v>98</v>
      </c>
      <c r="E14" s="6" t="s">
        <v>99</v>
      </c>
      <c r="F14" s="6" t="s">
        <v>89</v>
      </c>
      <c r="G14" s="6" t="s">
        <v>100</v>
      </c>
      <c r="H14" s="7"/>
      <c r="I14" s="7"/>
      <c r="J14" s="7"/>
      <c r="K14" s="7"/>
      <c r="L14" s="7"/>
    </row>
    <row r="15" customFormat="false" ht="35.05" hidden="false" customHeight="false" outlineLevel="0" collapsed="false">
      <c r="A15" s="6" t="s">
        <v>101</v>
      </c>
      <c r="B15" s="6" t="s">
        <v>102</v>
      </c>
      <c r="C15" s="6" t="s">
        <v>103</v>
      </c>
      <c r="D15" s="6" t="s">
        <v>104</v>
      </c>
      <c r="E15" s="6" t="s">
        <v>105</v>
      </c>
      <c r="F15" s="6" t="s">
        <v>89</v>
      </c>
      <c r="G15" s="6" t="s">
        <v>106</v>
      </c>
      <c r="H15" s="7"/>
      <c r="I15" s="7"/>
      <c r="J15" s="7"/>
      <c r="K15" s="7"/>
      <c r="L15" s="7"/>
    </row>
    <row r="16" customFormat="false" ht="23.85" hidden="false" customHeight="false" outlineLevel="0" collapsed="false">
      <c r="A16" s="6" t="s">
        <v>107</v>
      </c>
      <c r="B16" s="6" t="s">
        <v>102</v>
      </c>
      <c r="C16" s="6" t="s">
        <v>108</v>
      </c>
      <c r="D16" s="6" t="s">
        <v>109</v>
      </c>
      <c r="E16" s="6" t="s">
        <v>110</v>
      </c>
      <c r="F16" s="6" t="s">
        <v>89</v>
      </c>
      <c r="G16" s="6" t="s">
        <v>111</v>
      </c>
      <c r="H16" s="7"/>
      <c r="I16" s="7"/>
      <c r="J16" s="7"/>
      <c r="K16" s="7"/>
      <c r="L16" s="7"/>
    </row>
    <row r="17" customFormat="false" ht="15" hidden="false" customHeight="false" outlineLevel="0" collapsed="false">
      <c r="A17" s="6" t="s">
        <v>112</v>
      </c>
      <c r="B17" s="6" t="s">
        <v>102</v>
      </c>
      <c r="C17" s="6" t="s">
        <v>108</v>
      </c>
      <c r="D17" s="6" t="s">
        <v>113</v>
      </c>
      <c r="E17" s="6" t="s">
        <v>114</v>
      </c>
      <c r="F17" s="6" t="s">
        <v>33</v>
      </c>
      <c r="G17" s="6" t="s">
        <v>115</v>
      </c>
      <c r="H17" s="7"/>
      <c r="I17" s="7"/>
      <c r="J17" s="7"/>
      <c r="K17" s="7"/>
      <c r="L17" s="7"/>
    </row>
    <row r="18" customFormat="false" ht="23.85" hidden="false" customHeight="false" outlineLevel="0" collapsed="false">
      <c r="A18" s="6" t="s">
        <v>116</v>
      </c>
      <c r="B18" s="6" t="s">
        <v>102</v>
      </c>
      <c r="C18" s="6" t="s">
        <v>103</v>
      </c>
      <c r="D18" s="6" t="s">
        <v>117</v>
      </c>
      <c r="E18" s="6" t="s">
        <v>118</v>
      </c>
      <c r="F18" s="6" t="s">
        <v>89</v>
      </c>
      <c r="G18" s="6" t="s">
        <v>119</v>
      </c>
      <c r="H18" s="7"/>
      <c r="I18" s="7"/>
      <c r="J18" s="7"/>
      <c r="K18" s="7"/>
      <c r="L18" s="7"/>
    </row>
    <row r="19" customFormat="false" ht="23.85" hidden="false" customHeight="false" outlineLevel="0" collapsed="false">
      <c r="A19" s="6" t="s">
        <v>120</v>
      </c>
      <c r="B19" s="6" t="s">
        <v>102</v>
      </c>
      <c r="C19" s="6" t="s">
        <v>121</v>
      </c>
      <c r="D19" s="6" t="s">
        <v>122</v>
      </c>
      <c r="E19" s="6" t="s">
        <v>123</v>
      </c>
      <c r="F19" s="6" t="s">
        <v>89</v>
      </c>
      <c r="G19" s="6" t="s">
        <v>124</v>
      </c>
      <c r="H19" s="7"/>
      <c r="I19" s="7"/>
      <c r="J19" s="7"/>
      <c r="K19" s="7"/>
      <c r="L19" s="7"/>
    </row>
    <row r="20" customFormat="false" ht="23.85" hidden="false" customHeight="false" outlineLevel="0" collapsed="false">
      <c r="A20" s="6" t="s">
        <v>125</v>
      </c>
      <c r="B20" s="6" t="s">
        <v>102</v>
      </c>
      <c r="C20" s="6" t="s">
        <v>126</v>
      </c>
      <c r="D20" s="6" t="s">
        <v>127</v>
      </c>
      <c r="E20" s="6" t="s">
        <v>128</v>
      </c>
      <c r="F20" s="6" t="s">
        <v>129</v>
      </c>
      <c r="G20" s="6" t="s">
        <v>130</v>
      </c>
      <c r="H20" s="7"/>
      <c r="I20" s="7"/>
      <c r="J20" s="7"/>
      <c r="K20" s="7"/>
      <c r="L20" s="7"/>
    </row>
    <row r="21" customFormat="false" ht="35.05" hidden="false" customHeight="false" outlineLevel="0" collapsed="false">
      <c r="A21" s="6" t="s">
        <v>131</v>
      </c>
      <c r="B21" s="6" t="s">
        <v>102</v>
      </c>
      <c r="C21" s="6" t="s">
        <v>132</v>
      </c>
      <c r="D21" s="6" t="s">
        <v>133</v>
      </c>
      <c r="E21" s="6" t="s">
        <v>134</v>
      </c>
      <c r="F21" s="6" t="s">
        <v>89</v>
      </c>
      <c r="G21" s="6" t="s">
        <v>135</v>
      </c>
      <c r="H21" s="7"/>
      <c r="I21" s="7"/>
      <c r="J21" s="7"/>
      <c r="K21" s="7"/>
      <c r="L21" s="7"/>
    </row>
    <row r="22" customFormat="false" ht="15" hidden="false" customHeight="false" outlineLevel="0" collapsed="false">
      <c r="A22" s="6" t="s">
        <v>136</v>
      </c>
      <c r="B22" s="6" t="s">
        <v>102</v>
      </c>
      <c r="C22" s="6" t="s">
        <v>137</v>
      </c>
      <c r="D22" s="6" t="s">
        <v>138</v>
      </c>
      <c r="E22" s="6" t="s">
        <v>139</v>
      </c>
      <c r="F22" s="6" t="s">
        <v>89</v>
      </c>
      <c r="G22" s="6" t="s">
        <v>140</v>
      </c>
      <c r="H22" s="7"/>
      <c r="I22" s="7"/>
      <c r="J22" s="7"/>
      <c r="K22" s="7"/>
      <c r="L22" s="7"/>
    </row>
    <row r="23" customFormat="false" ht="23.85" hidden="false" customHeight="false" outlineLevel="0" collapsed="false">
      <c r="A23" s="6" t="s">
        <v>141</v>
      </c>
      <c r="B23" s="6" t="s">
        <v>102</v>
      </c>
      <c r="C23" s="6" t="s">
        <v>142</v>
      </c>
      <c r="D23" s="6" t="s">
        <v>143</v>
      </c>
      <c r="E23" s="6" t="s">
        <v>144</v>
      </c>
      <c r="F23" s="6" t="s">
        <v>89</v>
      </c>
      <c r="G23" s="6" t="s">
        <v>145</v>
      </c>
      <c r="H23" s="7"/>
      <c r="I23" s="7"/>
      <c r="J23" s="7"/>
      <c r="K23" s="7"/>
      <c r="L23" s="7"/>
    </row>
    <row r="24" customFormat="false" ht="15" hidden="false" customHeight="false" outlineLevel="0" collapsed="false">
      <c r="A24" s="6" t="s">
        <v>146</v>
      </c>
      <c r="B24" s="6" t="s">
        <v>102</v>
      </c>
      <c r="C24" s="6" t="s">
        <v>147</v>
      </c>
      <c r="D24" s="6" t="s">
        <v>148</v>
      </c>
      <c r="E24" s="6" t="s">
        <v>149</v>
      </c>
      <c r="F24" s="6" t="s">
        <v>89</v>
      </c>
      <c r="G24" s="6" t="s">
        <v>150</v>
      </c>
      <c r="H24" s="7"/>
      <c r="I24" s="7"/>
      <c r="J24" s="7"/>
      <c r="K24" s="7"/>
      <c r="L24" s="7"/>
    </row>
    <row r="25" customFormat="false" ht="23.85" hidden="false" customHeight="false" outlineLevel="0" collapsed="false">
      <c r="A25" s="6" t="s">
        <v>151</v>
      </c>
      <c r="B25" s="6" t="s">
        <v>102</v>
      </c>
      <c r="C25" s="6" t="s">
        <v>152</v>
      </c>
      <c r="D25" s="6" t="s">
        <v>153</v>
      </c>
      <c r="E25" s="6" t="s">
        <v>154</v>
      </c>
      <c r="F25" s="6" t="s">
        <v>155</v>
      </c>
      <c r="G25" s="6" t="s">
        <v>156</v>
      </c>
      <c r="H25" s="7"/>
      <c r="I25" s="7"/>
      <c r="J25" s="7"/>
      <c r="K25" s="7"/>
      <c r="L25" s="7"/>
    </row>
    <row r="26" customFormat="false" ht="23.85" hidden="false" customHeight="false" outlineLevel="0" collapsed="false">
      <c r="A26" s="6" t="s">
        <v>157</v>
      </c>
      <c r="B26" s="6" t="s">
        <v>102</v>
      </c>
      <c r="C26" s="6" t="s">
        <v>158</v>
      </c>
      <c r="D26" s="6" t="s">
        <v>159</v>
      </c>
      <c r="E26" s="6" t="s">
        <v>160</v>
      </c>
      <c r="F26" s="6" t="s">
        <v>89</v>
      </c>
      <c r="G26" s="6" t="s">
        <v>161</v>
      </c>
      <c r="H26" s="7"/>
      <c r="I26" s="7"/>
      <c r="J26" s="7"/>
      <c r="K26" s="7"/>
      <c r="L26" s="7"/>
    </row>
    <row r="27" customFormat="false" ht="23.85" hidden="false" customHeight="false" outlineLevel="0" collapsed="false">
      <c r="A27" s="6" t="s">
        <v>162</v>
      </c>
      <c r="B27" s="6" t="s">
        <v>102</v>
      </c>
      <c r="C27" s="6" t="s">
        <v>163</v>
      </c>
      <c r="D27" s="6" t="s">
        <v>164</v>
      </c>
      <c r="E27" s="6" t="s">
        <v>165</v>
      </c>
      <c r="F27" s="6" t="s">
        <v>89</v>
      </c>
      <c r="G27" s="6" t="s">
        <v>166</v>
      </c>
      <c r="H27" s="7"/>
      <c r="I27" s="7"/>
      <c r="J27" s="7"/>
      <c r="K27" s="7"/>
      <c r="L27" s="7"/>
    </row>
    <row r="28" customFormat="false" ht="23.85" hidden="false" customHeight="false" outlineLevel="0" collapsed="false">
      <c r="A28" s="6" t="s">
        <v>167</v>
      </c>
      <c r="B28" s="6" t="s">
        <v>102</v>
      </c>
      <c r="C28" s="6" t="s">
        <v>108</v>
      </c>
      <c r="D28" s="6" t="s">
        <v>168</v>
      </c>
      <c r="E28" s="6" t="s">
        <v>169</v>
      </c>
      <c r="F28" s="6" t="s">
        <v>33</v>
      </c>
      <c r="G28" s="6" t="s">
        <v>170</v>
      </c>
      <c r="H28" s="7"/>
      <c r="I28" s="7"/>
      <c r="J28" s="7"/>
      <c r="K28" s="7"/>
      <c r="L28" s="7"/>
    </row>
    <row r="29" customFormat="false" ht="15" hidden="false" customHeight="false" outlineLevel="0" collapsed="false">
      <c r="A29" s="6" t="s">
        <v>171</v>
      </c>
      <c r="B29" s="6" t="s">
        <v>102</v>
      </c>
      <c r="C29" s="6" t="s">
        <v>108</v>
      </c>
      <c r="D29" s="6" t="s">
        <v>172</v>
      </c>
      <c r="E29" s="6" t="s">
        <v>173</v>
      </c>
      <c r="F29" s="6" t="s">
        <v>33</v>
      </c>
      <c r="G29" s="6" t="s">
        <v>174</v>
      </c>
      <c r="H29" s="7"/>
      <c r="I29" s="7"/>
      <c r="J29" s="7"/>
      <c r="K29" s="7"/>
      <c r="L29" s="7"/>
    </row>
    <row r="30" customFormat="false" ht="35.05" hidden="false" customHeight="false" outlineLevel="0" collapsed="false">
      <c r="A30" s="6" t="s">
        <v>175</v>
      </c>
      <c r="B30" s="6" t="s">
        <v>176</v>
      </c>
      <c r="C30" s="6" t="s">
        <v>177</v>
      </c>
      <c r="D30" s="6" t="s">
        <v>178</v>
      </c>
      <c r="E30" s="6" t="s">
        <v>179</v>
      </c>
      <c r="F30" s="6" t="s">
        <v>33</v>
      </c>
      <c r="G30" s="6" t="s">
        <v>180</v>
      </c>
      <c r="H30" s="7"/>
      <c r="I30" s="7"/>
      <c r="J30" s="7"/>
      <c r="K30" s="7"/>
      <c r="L30" s="7"/>
    </row>
    <row r="31" customFormat="false" ht="15" hidden="false" customHeight="false" outlineLevel="0" collapsed="false">
      <c r="A31" s="6" t="s">
        <v>181</v>
      </c>
      <c r="B31" s="6" t="s">
        <v>176</v>
      </c>
      <c r="C31" s="6" t="s">
        <v>182</v>
      </c>
      <c r="D31" s="6" t="s">
        <v>183</v>
      </c>
      <c r="E31" s="6" t="s">
        <v>184</v>
      </c>
      <c r="F31" s="6" t="s">
        <v>33</v>
      </c>
      <c r="G31" s="6" t="s">
        <v>185</v>
      </c>
      <c r="H31" s="7"/>
      <c r="I31" s="7"/>
      <c r="J31" s="7"/>
      <c r="K31" s="7"/>
      <c r="L31" s="7"/>
    </row>
    <row r="32" customFormat="false" ht="23.85" hidden="false" customHeight="false" outlineLevel="0" collapsed="false">
      <c r="A32" s="6" t="s">
        <v>186</v>
      </c>
      <c r="B32" s="6" t="s">
        <v>176</v>
      </c>
      <c r="C32" s="6" t="s">
        <v>187</v>
      </c>
      <c r="D32" s="6" t="s">
        <v>188</v>
      </c>
      <c r="E32" s="6" t="s">
        <v>189</v>
      </c>
      <c r="F32" s="6" t="s">
        <v>33</v>
      </c>
      <c r="G32" s="6" t="s">
        <v>190</v>
      </c>
      <c r="H32" s="7"/>
      <c r="I32" s="7"/>
      <c r="J32" s="7"/>
      <c r="K32" s="7"/>
      <c r="L32" s="7"/>
    </row>
    <row r="33" customFormat="false" ht="15" hidden="false" customHeight="false" outlineLevel="0" collapsed="false">
      <c r="A33" s="6" t="s">
        <v>191</v>
      </c>
      <c r="B33" s="6" t="s">
        <v>176</v>
      </c>
      <c r="C33" s="6" t="s">
        <v>45</v>
      </c>
      <c r="D33" s="6" t="s">
        <v>192</v>
      </c>
      <c r="E33" s="6" t="s">
        <v>193</v>
      </c>
      <c r="F33" s="6" t="s">
        <v>33</v>
      </c>
      <c r="G33" s="6" t="s">
        <v>194</v>
      </c>
      <c r="H33" s="7"/>
      <c r="I33" s="7"/>
      <c r="J33" s="7"/>
      <c r="K33" s="7"/>
      <c r="L33" s="7"/>
    </row>
    <row r="34" customFormat="false" ht="23.85" hidden="false" customHeight="false" outlineLevel="0" collapsed="false">
      <c r="A34" s="6" t="s">
        <v>195</v>
      </c>
      <c r="B34" s="6" t="s">
        <v>196</v>
      </c>
      <c r="C34" s="6" t="s">
        <v>197</v>
      </c>
      <c r="D34" s="6" t="s">
        <v>198</v>
      </c>
      <c r="E34" s="6" t="s">
        <v>199</v>
      </c>
      <c r="F34" s="6" t="s">
        <v>200</v>
      </c>
      <c r="G34" s="6" t="s">
        <v>201</v>
      </c>
      <c r="H34" s="7"/>
      <c r="I34" s="7"/>
      <c r="J34" s="7"/>
      <c r="K34" s="7"/>
      <c r="L34" s="7"/>
    </row>
    <row r="35" customFormat="false" ht="23.85" hidden="false" customHeight="false" outlineLevel="0" collapsed="false">
      <c r="A35" s="6" t="s">
        <v>202</v>
      </c>
      <c r="B35" s="6" t="s">
        <v>196</v>
      </c>
      <c r="C35" s="6" t="s">
        <v>197</v>
      </c>
      <c r="D35" s="6" t="s">
        <v>203</v>
      </c>
      <c r="E35" s="6" t="s">
        <v>204</v>
      </c>
      <c r="F35" s="6" t="s">
        <v>200</v>
      </c>
      <c r="G35" s="6" t="s">
        <v>205</v>
      </c>
      <c r="H35" s="7"/>
      <c r="I35" s="7"/>
      <c r="J35" s="7"/>
      <c r="K35" s="7"/>
      <c r="L35" s="7"/>
    </row>
    <row r="36" customFormat="false" ht="15" hidden="false" customHeight="false" outlineLevel="0" collapsed="false">
      <c r="A36" s="6" t="s">
        <v>206</v>
      </c>
      <c r="B36" s="6" t="s">
        <v>196</v>
      </c>
      <c r="C36" s="6" t="s">
        <v>197</v>
      </c>
      <c r="D36" s="6" t="s">
        <v>207</v>
      </c>
      <c r="E36" s="6" t="s">
        <v>208</v>
      </c>
      <c r="F36" s="6" t="s">
        <v>209</v>
      </c>
      <c r="G36" s="6" t="s">
        <v>210</v>
      </c>
      <c r="H36" s="7"/>
      <c r="I36" s="7"/>
      <c r="J36" s="7"/>
      <c r="K36" s="7"/>
      <c r="L36" s="7"/>
    </row>
    <row r="37" customFormat="false" ht="23.85" hidden="false" customHeight="false" outlineLevel="0" collapsed="false">
      <c r="A37" s="6" t="s">
        <v>211</v>
      </c>
      <c r="B37" s="6" t="s">
        <v>212</v>
      </c>
      <c r="C37" s="6" t="s">
        <v>213</v>
      </c>
      <c r="D37" s="6" t="s">
        <v>214</v>
      </c>
      <c r="E37" s="6" t="s">
        <v>215</v>
      </c>
      <c r="F37" s="6" t="s">
        <v>33</v>
      </c>
      <c r="G37" s="6" t="s">
        <v>216</v>
      </c>
      <c r="H37" s="7"/>
      <c r="I37" s="7"/>
      <c r="J37" s="7"/>
      <c r="K37" s="7"/>
      <c r="L37" s="7"/>
    </row>
    <row r="38" customFormat="false" ht="23.85" hidden="false" customHeight="false" outlineLevel="0" collapsed="false">
      <c r="A38" s="6" t="s">
        <v>217</v>
      </c>
      <c r="B38" s="6" t="s">
        <v>212</v>
      </c>
      <c r="C38" s="6" t="s">
        <v>213</v>
      </c>
      <c r="D38" s="6" t="s">
        <v>218</v>
      </c>
      <c r="E38" s="6" t="s">
        <v>219</v>
      </c>
      <c r="F38" s="6" t="s">
        <v>33</v>
      </c>
      <c r="G38" s="6" t="s">
        <v>220</v>
      </c>
      <c r="H38" s="7"/>
      <c r="I38" s="7"/>
      <c r="J38" s="7"/>
      <c r="K38" s="7"/>
      <c r="L38" s="7"/>
    </row>
    <row r="39" customFormat="false" ht="15" hidden="false" customHeight="false" outlineLevel="0" collapsed="false">
      <c r="A39" s="6" t="s">
        <v>221</v>
      </c>
      <c r="B39" s="6" t="s">
        <v>212</v>
      </c>
      <c r="C39" s="6" t="s">
        <v>222</v>
      </c>
      <c r="D39" s="6" t="s">
        <v>223</v>
      </c>
      <c r="E39" s="6" t="s">
        <v>224</v>
      </c>
      <c r="F39" s="6" t="s">
        <v>33</v>
      </c>
      <c r="G39" s="6" t="s">
        <v>225</v>
      </c>
      <c r="H39" s="7"/>
      <c r="I39" s="7"/>
      <c r="J39" s="7"/>
      <c r="K39" s="7"/>
      <c r="L39" s="7"/>
    </row>
    <row r="40" customFormat="false" ht="23.85" hidden="false" customHeight="false" outlineLevel="0" collapsed="false">
      <c r="A40" s="6" t="s">
        <v>226</v>
      </c>
      <c r="B40" s="6" t="s">
        <v>212</v>
      </c>
      <c r="C40" s="6" t="s">
        <v>227</v>
      </c>
      <c r="D40" s="6" t="s">
        <v>228</v>
      </c>
      <c r="E40" s="6" t="s">
        <v>229</v>
      </c>
      <c r="F40" s="6" t="s">
        <v>33</v>
      </c>
      <c r="G40" s="6" t="s">
        <v>230</v>
      </c>
      <c r="H40" s="7"/>
      <c r="I40" s="7"/>
      <c r="J40" s="7"/>
      <c r="K40" s="7"/>
      <c r="L40" s="7"/>
    </row>
    <row r="41" customFormat="false" ht="15" hidden="false" customHeight="false" outlineLevel="0" collapsed="false">
      <c r="A41" s="6" t="s">
        <v>231</v>
      </c>
      <c r="B41" s="6" t="s">
        <v>212</v>
      </c>
      <c r="C41" s="6" t="s">
        <v>232</v>
      </c>
      <c r="D41" s="6" t="s">
        <v>233</v>
      </c>
      <c r="E41" s="6" t="s">
        <v>234</v>
      </c>
      <c r="F41" s="6" t="s">
        <v>33</v>
      </c>
      <c r="G41" s="6" t="s">
        <v>235</v>
      </c>
      <c r="H41" s="7"/>
      <c r="I41" s="7"/>
      <c r="J41" s="7"/>
      <c r="K41" s="7"/>
      <c r="L41" s="7"/>
    </row>
    <row r="42" customFormat="false" ht="15" hidden="false" customHeight="false" outlineLevel="0" collapsed="false">
      <c r="A42" s="6" t="s">
        <v>236</v>
      </c>
      <c r="B42" s="6" t="s">
        <v>212</v>
      </c>
      <c r="C42" s="6" t="s">
        <v>237</v>
      </c>
      <c r="D42" s="6" t="s">
        <v>238</v>
      </c>
      <c r="E42" s="6" t="s">
        <v>239</v>
      </c>
      <c r="F42" s="6" t="s">
        <v>33</v>
      </c>
      <c r="G42" s="6" t="s">
        <v>240</v>
      </c>
      <c r="H42" s="7"/>
      <c r="I42" s="7"/>
      <c r="J42" s="7"/>
      <c r="K42" s="7"/>
      <c r="L42" s="7"/>
    </row>
    <row r="43" customFormat="false" ht="23.85" hidden="false" customHeight="false" outlineLevel="0" collapsed="false">
      <c r="A43" s="6" t="s">
        <v>241</v>
      </c>
      <c r="B43" s="6" t="s">
        <v>242</v>
      </c>
      <c r="C43" s="6" t="s">
        <v>243</v>
      </c>
      <c r="D43" s="6" t="s">
        <v>244</v>
      </c>
      <c r="E43" s="6" t="s">
        <v>245</v>
      </c>
      <c r="F43" s="6" t="s">
        <v>246</v>
      </c>
      <c r="G43" s="6" t="s">
        <v>247</v>
      </c>
      <c r="H43" s="7"/>
      <c r="I43" s="7"/>
      <c r="J43" s="7"/>
      <c r="K43" s="7"/>
      <c r="L43" s="7"/>
    </row>
    <row r="44" customFormat="false" ht="23.85" hidden="false" customHeight="false" outlineLevel="0" collapsed="false">
      <c r="A44" s="6" t="s">
        <v>248</v>
      </c>
      <c r="B44" s="6" t="s">
        <v>249</v>
      </c>
      <c r="C44" s="6" t="s">
        <v>250</v>
      </c>
      <c r="D44" s="6" t="s">
        <v>251</v>
      </c>
      <c r="E44" s="6" t="s">
        <v>252</v>
      </c>
      <c r="F44" s="6" t="s">
        <v>33</v>
      </c>
      <c r="G44" s="6" t="s">
        <v>253</v>
      </c>
      <c r="H44" s="7"/>
      <c r="I44" s="7"/>
      <c r="J44" s="7"/>
      <c r="K44" s="7"/>
      <c r="L44" s="7"/>
    </row>
    <row r="45" customFormat="false" ht="15" hidden="false" customHeight="false" outlineLevel="0" collapsed="false">
      <c r="A45" s="6" t="s">
        <v>254</v>
      </c>
      <c r="B45" s="6" t="s">
        <v>249</v>
      </c>
      <c r="C45" s="6" t="s">
        <v>250</v>
      </c>
      <c r="D45" s="6" t="s">
        <v>255</v>
      </c>
      <c r="E45" s="6" t="s">
        <v>256</v>
      </c>
      <c r="F45" s="6" t="s">
        <v>257</v>
      </c>
      <c r="G45" s="6" t="s">
        <v>258</v>
      </c>
      <c r="H45" s="7"/>
      <c r="I45" s="7"/>
      <c r="J45" s="7"/>
      <c r="K45" s="7"/>
      <c r="L45" s="7"/>
    </row>
    <row r="46" customFormat="false" ht="23.85" hidden="false" customHeight="false" outlineLevel="0" collapsed="false">
      <c r="A46" s="6" t="s">
        <v>259</v>
      </c>
      <c r="B46" s="6" t="s">
        <v>249</v>
      </c>
      <c r="C46" s="6" t="s">
        <v>250</v>
      </c>
      <c r="D46" s="6" t="s">
        <v>260</v>
      </c>
      <c r="E46" s="6" t="s">
        <v>261</v>
      </c>
      <c r="F46" s="6" t="s">
        <v>262</v>
      </c>
      <c r="G46" s="6" t="s">
        <v>263</v>
      </c>
      <c r="H46" s="7"/>
      <c r="I46" s="7"/>
      <c r="J46" s="7"/>
      <c r="K46" s="7"/>
      <c r="L46" s="7"/>
    </row>
    <row r="47" customFormat="false" ht="23.85" hidden="false" customHeight="false" outlineLevel="0" collapsed="false">
      <c r="A47" s="6" t="s">
        <v>264</v>
      </c>
      <c r="B47" s="6" t="s">
        <v>249</v>
      </c>
      <c r="C47" s="6" t="s">
        <v>265</v>
      </c>
      <c r="D47" s="6" t="s">
        <v>266</v>
      </c>
      <c r="E47" s="6" t="s">
        <v>267</v>
      </c>
      <c r="F47" s="6" t="s">
        <v>268</v>
      </c>
      <c r="G47" s="6" t="s">
        <v>269</v>
      </c>
      <c r="H47" s="7"/>
      <c r="I47" s="7"/>
      <c r="J47" s="7"/>
      <c r="K47" s="7"/>
      <c r="L47" s="7"/>
    </row>
    <row r="48" customFormat="false" ht="15" hidden="false" customHeight="false" outlineLevel="0" collapsed="false">
      <c r="A48" s="6" t="s">
        <v>270</v>
      </c>
      <c r="B48" s="6" t="s">
        <v>249</v>
      </c>
      <c r="C48" s="6" t="s">
        <v>265</v>
      </c>
      <c r="D48" s="6" t="s">
        <v>271</v>
      </c>
      <c r="E48" s="6" t="s">
        <v>272</v>
      </c>
      <c r="F48" s="6" t="s">
        <v>273</v>
      </c>
      <c r="G48" s="6" t="s">
        <v>274</v>
      </c>
      <c r="H48" s="7"/>
      <c r="I48" s="7"/>
      <c r="J48" s="7"/>
      <c r="K48" s="7"/>
      <c r="L48" s="7"/>
    </row>
    <row r="49" customFormat="false" ht="15" hidden="false" customHeight="false" outlineLevel="0" collapsed="false">
      <c r="A49" s="6" t="s">
        <v>275</v>
      </c>
      <c r="B49" s="6" t="s">
        <v>249</v>
      </c>
      <c r="C49" s="6" t="s">
        <v>276</v>
      </c>
      <c r="D49" s="6" t="s">
        <v>277</v>
      </c>
      <c r="E49" s="6" t="s">
        <v>278</v>
      </c>
      <c r="F49" s="6" t="s">
        <v>33</v>
      </c>
      <c r="G49" s="6" t="s">
        <v>279</v>
      </c>
      <c r="H49" s="7"/>
      <c r="I49" s="7"/>
      <c r="J49" s="7"/>
      <c r="K49" s="7"/>
      <c r="L49" s="7"/>
    </row>
    <row r="50" customFormat="false" ht="23.85" hidden="false" customHeight="false" outlineLevel="0" collapsed="false">
      <c r="A50" s="6" t="s">
        <v>280</v>
      </c>
      <c r="B50" s="6" t="s">
        <v>249</v>
      </c>
      <c r="C50" s="6" t="s">
        <v>281</v>
      </c>
      <c r="D50" s="6" t="s">
        <v>282</v>
      </c>
      <c r="E50" s="6" t="s">
        <v>283</v>
      </c>
      <c r="F50" s="6" t="s">
        <v>33</v>
      </c>
      <c r="G50" s="6" t="s">
        <v>284</v>
      </c>
      <c r="H50" s="7"/>
      <c r="I50" s="7"/>
      <c r="J50" s="7"/>
      <c r="K50" s="7"/>
      <c r="L50" s="7"/>
    </row>
    <row r="51" customFormat="false" ht="15" hidden="false" customHeight="false" outlineLevel="0" collapsed="false">
      <c r="A51" s="6" t="s">
        <v>285</v>
      </c>
      <c r="B51" s="6" t="s">
        <v>249</v>
      </c>
      <c r="C51" s="6" t="s">
        <v>286</v>
      </c>
      <c r="D51" s="6" t="s">
        <v>287</v>
      </c>
      <c r="E51" s="6" t="s">
        <v>288</v>
      </c>
      <c r="F51" s="6" t="s">
        <v>33</v>
      </c>
      <c r="G51" s="6" t="s">
        <v>289</v>
      </c>
      <c r="H51" s="7"/>
      <c r="I51" s="7"/>
      <c r="J51" s="7"/>
      <c r="K51" s="7"/>
      <c r="L51" s="7"/>
    </row>
    <row r="52" customFormat="false" ht="23.85" hidden="false" customHeight="false" outlineLevel="0" collapsed="false">
      <c r="A52" s="6" t="s">
        <v>290</v>
      </c>
      <c r="B52" s="6" t="s">
        <v>291</v>
      </c>
      <c r="C52" s="6" t="s">
        <v>292</v>
      </c>
      <c r="D52" s="6" t="s">
        <v>293</v>
      </c>
      <c r="E52" s="6" t="s">
        <v>294</v>
      </c>
      <c r="F52" s="6" t="s">
        <v>33</v>
      </c>
      <c r="G52" s="6" t="s">
        <v>295</v>
      </c>
      <c r="H52" s="7"/>
      <c r="I52" s="7"/>
      <c r="J52" s="7"/>
      <c r="K52" s="7"/>
      <c r="L52" s="7"/>
    </row>
    <row r="53" customFormat="false" ht="35.05" hidden="false" customHeight="false" outlineLevel="0" collapsed="false">
      <c r="A53" s="6" t="s">
        <v>296</v>
      </c>
      <c r="B53" s="6" t="s">
        <v>291</v>
      </c>
      <c r="C53" s="6" t="s">
        <v>297</v>
      </c>
      <c r="D53" s="6" t="s">
        <v>298</v>
      </c>
      <c r="E53" s="6" t="s">
        <v>299</v>
      </c>
      <c r="F53" s="6" t="s">
        <v>33</v>
      </c>
      <c r="G53" s="6" t="s">
        <v>300</v>
      </c>
      <c r="H53" s="7"/>
      <c r="I53" s="7"/>
      <c r="J53" s="7"/>
      <c r="K53" s="7"/>
      <c r="L53" s="7"/>
    </row>
    <row r="54" customFormat="false" ht="23.85" hidden="false" customHeight="false" outlineLevel="0" collapsed="false">
      <c r="A54" s="6" t="s">
        <v>301</v>
      </c>
      <c r="B54" s="6" t="s">
        <v>291</v>
      </c>
      <c r="C54" s="6" t="s">
        <v>302</v>
      </c>
      <c r="D54" s="6" t="s">
        <v>303</v>
      </c>
      <c r="E54" s="6" t="s">
        <v>304</v>
      </c>
      <c r="F54" s="6" t="s">
        <v>33</v>
      </c>
      <c r="G54" s="6" t="s">
        <v>305</v>
      </c>
      <c r="H54" s="7"/>
      <c r="I54" s="7"/>
      <c r="J54" s="7"/>
      <c r="K54" s="7"/>
      <c r="L54" s="7"/>
    </row>
    <row r="55" customFormat="false" ht="35.05" hidden="false" customHeight="false" outlineLevel="0" collapsed="false">
      <c r="A55" s="6" t="s">
        <v>306</v>
      </c>
      <c r="B55" s="6" t="s">
        <v>307</v>
      </c>
      <c r="C55" s="6" t="s">
        <v>308</v>
      </c>
      <c r="D55" s="6" t="s">
        <v>309</v>
      </c>
      <c r="E55" s="6" t="s">
        <v>310</v>
      </c>
      <c r="F55" s="6" t="s">
        <v>311</v>
      </c>
      <c r="G55" s="6" t="s">
        <v>312</v>
      </c>
      <c r="H55" s="7"/>
      <c r="I55" s="7"/>
      <c r="J55" s="7"/>
      <c r="K55" s="7"/>
      <c r="L55" s="7"/>
    </row>
    <row r="56" customFormat="false" ht="23.85" hidden="false" customHeight="false" outlineLevel="0" collapsed="false">
      <c r="A56" s="6" t="s">
        <v>313</v>
      </c>
      <c r="B56" s="6" t="s">
        <v>307</v>
      </c>
      <c r="C56" s="6" t="s">
        <v>187</v>
      </c>
      <c r="D56" s="6" t="s">
        <v>314</v>
      </c>
      <c r="E56" s="6" t="s">
        <v>315</v>
      </c>
      <c r="F56" s="6" t="s">
        <v>33</v>
      </c>
      <c r="G56" s="6" t="s">
        <v>316</v>
      </c>
      <c r="H56" s="7"/>
      <c r="I56" s="7"/>
      <c r="J56" s="7"/>
      <c r="K56" s="7"/>
      <c r="L56" s="7"/>
    </row>
    <row r="57" customFormat="false" ht="35.05" hidden="false" customHeight="false" outlineLevel="0" collapsed="false">
      <c r="A57" s="6" t="s">
        <v>317</v>
      </c>
      <c r="B57" s="6" t="s">
        <v>307</v>
      </c>
      <c r="C57" s="6" t="s">
        <v>318</v>
      </c>
      <c r="D57" s="6" t="s">
        <v>319</v>
      </c>
      <c r="E57" s="6" t="s">
        <v>320</v>
      </c>
      <c r="F57" s="6" t="s">
        <v>33</v>
      </c>
      <c r="G57" s="6" t="s">
        <v>321</v>
      </c>
      <c r="H57" s="7"/>
      <c r="I57" s="7"/>
      <c r="J57" s="7"/>
      <c r="K57" s="7"/>
      <c r="L57" s="7"/>
    </row>
    <row r="58" customFormat="false" ht="46.25" hidden="false" customHeight="false" outlineLevel="0" collapsed="false">
      <c r="A58" s="6" t="s">
        <v>322</v>
      </c>
      <c r="B58" s="6" t="s">
        <v>307</v>
      </c>
      <c r="C58" s="6" t="s">
        <v>318</v>
      </c>
      <c r="D58" s="6" t="s">
        <v>323</v>
      </c>
      <c r="E58" s="6" t="s">
        <v>324</v>
      </c>
      <c r="F58" s="6" t="s">
        <v>33</v>
      </c>
      <c r="G58" s="6" t="s">
        <v>325</v>
      </c>
      <c r="H58" s="7"/>
      <c r="I58" s="7"/>
      <c r="J58" s="7"/>
      <c r="K58" s="7"/>
      <c r="L58" s="7"/>
    </row>
    <row r="59" customFormat="false" ht="35.05" hidden="false" customHeight="false" outlineLevel="0" collapsed="false">
      <c r="A59" s="6" t="s">
        <v>326</v>
      </c>
      <c r="B59" s="6" t="s">
        <v>307</v>
      </c>
      <c r="C59" s="6" t="s">
        <v>318</v>
      </c>
      <c r="D59" s="6" t="s">
        <v>327</v>
      </c>
      <c r="E59" s="6" t="s">
        <v>328</v>
      </c>
      <c r="F59" s="6" t="s">
        <v>33</v>
      </c>
      <c r="G59" s="6" t="s">
        <v>329</v>
      </c>
      <c r="H59" s="7"/>
      <c r="I59" s="7"/>
      <c r="J59" s="7"/>
      <c r="K59" s="7"/>
      <c r="L59" s="7"/>
    </row>
    <row r="60" customFormat="false" ht="23.85" hidden="false" customHeight="false" outlineLevel="0" collapsed="false">
      <c r="A60" s="6" t="s">
        <v>330</v>
      </c>
      <c r="B60" s="6" t="s">
        <v>307</v>
      </c>
      <c r="C60" s="6" t="s">
        <v>318</v>
      </c>
      <c r="D60" s="6" t="s">
        <v>331</v>
      </c>
      <c r="E60" s="6" t="s">
        <v>332</v>
      </c>
      <c r="F60" s="6" t="s">
        <v>33</v>
      </c>
      <c r="G60" s="6" t="s">
        <v>333</v>
      </c>
      <c r="H60" s="7"/>
      <c r="I60" s="7"/>
      <c r="J60" s="7"/>
      <c r="K60" s="7"/>
      <c r="L60" s="7"/>
    </row>
    <row r="61" customFormat="false" ht="23.85" hidden="false" customHeight="false" outlineLevel="0" collapsed="false">
      <c r="A61" s="6" t="s">
        <v>334</v>
      </c>
      <c r="B61" s="6" t="s">
        <v>307</v>
      </c>
      <c r="C61" s="6" t="s">
        <v>335</v>
      </c>
      <c r="D61" s="6" t="s">
        <v>336</v>
      </c>
      <c r="E61" s="6" t="s">
        <v>337</v>
      </c>
      <c r="F61" s="6" t="s">
        <v>33</v>
      </c>
      <c r="G61" s="6" t="s">
        <v>338</v>
      </c>
      <c r="H61" s="7"/>
      <c r="I61" s="7"/>
      <c r="J61" s="7"/>
      <c r="K61" s="7"/>
      <c r="L61" s="7"/>
    </row>
    <row r="62" customFormat="false" ht="23.85" hidden="false" customHeight="false" outlineLevel="0" collapsed="false">
      <c r="A62" s="6" t="s">
        <v>339</v>
      </c>
      <c r="B62" s="6" t="s">
        <v>307</v>
      </c>
      <c r="C62" s="6" t="s">
        <v>318</v>
      </c>
      <c r="D62" s="6" t="s">
        <v>340</v>
      </c>
      <c r="E62" s="6" t="s">
        <v>341</v>
      </c>
      <c r="F62" s="6" t="s">
        <v>33</v>
      </c>
      <c r="G62" s="6" t="s">
        <v>342</v>
      </c>
      <c r="H62" s="7"/>
      <c r="I62" s="7"/>
      <c r="J62" s="7"/>
      <c r="K62" s="7"/>
      <c r="L62" s="7"/>
    </row>
    <row r="63" customFormat="false" ht="35.05" hidden="false" customHeight="false" outlineLevel="0" collapsed="false">
      <c r="A63" s="6" t="s">
        <v>343</v>
      </c>
      <c r="B63" s="6" t="s">
        <v>307</v>
      </c>
      <c r="C63" s="6" t="s">
        <v>265</v>
      </c>
      <c r="D63" s="6" t="s">
        <v>344</v>
      </c>
      <c r="E63" s="6" t="s">
        <v>345</v>
      </c>
      <c r="F63" s="6" t="s">
        <v>33</v>
      </c>
      <c r="G63" s="6" t="s">
        <v>346</v>
      </c>
      <c r="H63" s="7"/>
      <c r="I63" s="7"/>
      <c r="J63" s="7"/>
      <c r="K63" s="7"/>
      <c r="L63" s="7"/>
    </row>
    <row r="64" customFormat="false" ht="15" hidden="false" customHeight="false" outlineLevel="0" collapsed="false">
      <c r="A64" s="6" t="s">
        <v>347</v>
      </c>
      <c r="B64" s="6" t="s">
        <v>307</v>
      </c>
      <c r="C64" s="6" t="s">
        <v>318</v>
      </c>
      <c r="D64" s="6" t="s">
        <v>348</v>
      </c>
      <c r="E64" s="6" t="s">
        <v>349</v>
      </c>
      <c r="F64" s="6" t="s">
        <v>33</v>
      </c>
      <c r="G64" s="6" t="s">
        <v>350</v>
      </c>
      <c r="H64" s="7"/>
      <c r="I64" s="7"/>
      <c r="J64" s="7"/>
      <c r="K64" s="7"/>
      <c r="L64" s="7"/>
    </row>
  </sheetData>
  <autoFilter ref="A1:L64"/>
  <dataValidations count="1">
    <dataValidation allowBlank="true" errorStyle="stop" operator="between" showDropDown="false" showErrorMessage="false" showInputMessage="false" sqref="I2:I64" type="list">
      <formula1>"ผ่าน,ไม่ผ่าน,ข้าม,บล็อก"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1" min="10" style="0" width="10"/>
    <col collapsed="false" customWidth="true" hidden="false" outlineLevel="0" max="13" min="12" style="0" width="16"/>
    <col collapsed="false" customWidth="true" hidden="false" outlineLevel="0" max="15" min="14" style="0" width="14"/>
    <col collapsed="false" customWidth="true" hidden="false" outlineLevel="0" max="16" min="16" style="0" width="60"/>
  </cols>
  <sheetData>
    <row r="1" customFormat="false" ht="23.85" hidden="false" customHeight="false" outlineLevel="0" collapsed="false">
      <c r="A1" s="4" t="s">
        <v>351</v>
      </c>
      <c r="B1" s="4" t="s">
        <v>352</v>
      </c>
      <c r="C1" s="4" t="s">
        <v>353</v>
      </c>
      <c r="D1" s="4" t="s">
        <v>354</v>
      </c>
      <c r="E1" s="4" t="s">
        <v>355</v>
      </c>
      <c r="F1" s="4" t="s">
        <v>356</v>
      </c>
      <c r="G1" s="4" t="s">
        <v>137</v>
      </c>
      <c r="H1" s="4" t="s">
        <v>357</v>
      </c>
      <c r="I1" s="4" t="s">
        <v>358</v>
      </c>
      <c r="J1" s="4" t="s">
        <v>147</v>
      </c>
      <c r="K1" s="4" t="s">
        <v>152</v>
      </c>
      <c r="L1" s="4" t="s">
        <v>359</v>
      </c>
      <c r="M1" s="4" t="s">
        <v>360</v>
      </c>
      <c r="N1" s="4" t="s">
        <v>361</v>
      </c>
      <c r="O1" s="4" t="s">
        <v>362</v>
      </c>
      <c r="P1" s="4" t="s">
        <v>363</v>
      </c>
    </row>
    <row r="2" customFormat="false" ht="23.85" hidden="false" customHeight="false" outlineLevel="0" collapsed="false">
      <c r="A2" s="6" t="s">
        <v>364</v>
      </c>
      <c r="B2" s="6" t="s">
        <v>365</v>
      </c>
      <c r="C2" s="6" t="n">
        <v>78</v>
      </c>
      <c r="D2" s="6" t="n">
        <v>30</v>
      </c>
      <c r="E2" s="6" t="s">
        <v>366</v>
      </c>
      <c r="F2" s="6" t="s">
        <v>367</v>
      </c>
      <c r="G2" s="6" t="n">
        <v>5</v>
      </c>
      <c r="H2" s="6" t="n">
        <v>53</v>
      </c>
      <c r="I2" s="6" t="n">
        <v>5</v>
      </c>
      <c r="J2" s="6" t="n">
        <v>16</v>
      </c>
      <c r="K2" s="6" t="n">
        <v>57</v>
      </c>
      <c r="L2" s="6" t="s">
        <v>368</v>
      </c>
      <c r="M2" s="6" t="s">
        <v>369</v>
      </c>
      <c r="N2" s="6" t="s">
        <v>370</v>
      </c>
      <c r="O2" s="6" t="s">
        <v>371</v>
      </c>
      <c r="P2" s="6" t="s">
        <v>372</v>
      </c>
    </row>
    <row r="3" customFormat="false" ht="23.85" hidden="false" customHeight="false" outlineLevel="0" collapsed="false">
      <c r="A3" s="6" t="s">
        <v>373</v>
      </c>
      <c r="B3" s="6" t="s">
        <v>374</v>
      </c>
      <c r="C3" s="6" t="n">
        <v>186</v>
      </c>
      <c r="D3" s="6" t="n">
        <v>33</v>
      </c>
      <c r="E3" s="6" t="s">
        <v>375</v>
      </c>
      <c r="F3" s="6" t="s">
        <v>376</v>
      </c>
      <c r="G3" s="6" t="n">
        <v>4</v>
      </c>
      <c r="H3" s="6" t="n">
        <v>65</v>
      </c>
      <c r="I3" s="6" t="n">
        <v>7</v>
      </c>
      <c r="J3" s="6" t="n">
        <v>21</v>
      </c>
      <c r="K3" s="6" t="n">
        <v>78</v>
      </c>
      <c r="L3" s="6" t="s">
        <v>377</v>
      </c>
      <c r="M3" s="6" t="s">
        <v>378</v>
      </c>
      <c r="N3" s="6" t="s">
        <v>379</v>
      </c>
      <c r="O3" s="6" t="s">
        <v>380</v>
      </c>
      <c r="P3" s="6" t="s">
        <v>381</v>
      </c>
    </row>
    <row r="4" customFormat="false" ht="23.85" hidden="false" customHeight="false" outlineLevel="0" collapsed="false">
      <c r="A4" s="6" t="s">
        <v>382</v>
      </c>
      <c r="B4" s="6" t="s">
        <v>383</v>
      </c>
      <c r="C4" s="6" t="n">
        <v>75</v>
      </c>
      <c r="D4" s="6" t="n">
        <v>34</v>
      </c>
      <c r="E4" s="6" t="s">
        <v>384</v>
      </c>
      <c r="F4" s="6" t="s">
        <v>385</v>
      </c>
      <c r="G4" s="6" t="n">
        <v>3</v>
      </c>
      <c r="H4" s="6" t="n">
        <v>25</v>
      </c>
      <c r="I4" s="6" t="n">
        <v>6</v>
      </c>
      <c r="J4" s="6" t="n">
        <v>10</v>
      </c>
      <c r="K4" s="6" t="n">
        <v>24</v>
      </c>
      <c r="L4" s="6" t="s">
        <v>386</v>
      </c>
      <c r="M4" s="6" t="s">
        <v>369</v>
      </c>
      <c r="N4" s="6" t="s">
        <v>370</v>
      </c>
      <c r="O4" s="6" t="s">
        <v>387</v>
      </c>
      <c r="P4" s="6" t="s">
        <v>388</v>
      </c>
    </row>
    <row r="5" customFormat="false" ht="23.85" hidden="false" customHeight="false" outlineLevel="0" collapsed="false">
      <c r="A5" s="6" t="s">
        <v>389</v>
      </c>
      <c r="B5" s="6" t="s">
        <v>390</v>
      </c>
      <c r="C5" s="6" t="n">
        <v>221</v>
      </c>
      <c r="D5" s="6" t="n">
        <v>33</v>
      </c>
      <c r="E5" s="6" t="s">
        <v>391</v>
      </c>
      <c r="F5" s="6" t="s">
        <v>392</v>
      </c>
      <c r="G5" s="6" t="n">
        <v>6</v>
      </c>
      <c r="H5" s="6" t="n">
        <v>124</v>
      </c>
      <c r="I5" s="6" t="n">
        <v>11</v>
      </c>
      <c r="J5" s="6" t="n">
        <v>23</v>
      </c>
      <c r="K5" s="6" t="n">
        <v>90</v>
      </c>
      <c r="L5" s="6" t="s">
        <v>393</v>
      </c>
      <c r="M5" s="6" t="s">
        <v>369</v>
      </c>
      <c r="N5" s="6" t="s">
        <v>394</v>
      </c>
      <c r="O5" s="6" t="s">
        <v>395</v>
      </c>
      <c r="P5" s="6" t="s">
        <v>396</v>
      </c>
    </row>
    <row r="6" customFormat="false" ht="23.85" hidden="false" customHeight="false" outlineLevel="0" collapsed="false">
      <c r="A6" s="6" t="s">
        <v>397</v>
      </c>
      <c r="B6" s="6" t="s">
        <v>398</v>
      </c>
      <c r="C6" s="6" t="n">
        <v>56</v>
      </c>
      <c r="D6" s="6" t="n">
        <v>33</v>
      </c>
      <c r="E6" s="6" t="s">
        <v>384</v>
      </c>
      <c r="F6" s="6" t="s">
        <v>399</v>
      </c>
      <c r="G6" s="6" t="s">
        <v>400</v>
      </c>
      <c r="H6" s="6" t="n">
        <v>38</v>
      </c>
      <c r="I6" s="6" t="n">
        <v>7</v>
      </c>
      <c r="J6" s="6" t="n">
        <v>2</v>
      </c>
      <c r="K6" s="6" t="n">
        <v>17</v>
      </c>
      <c r="L6" s="6" t="s">
        <v>401</v>
      </c>
      <c r="M6" s="6" t="s">
        <v>402</v>
      </c>
      <c r="N6" s="6" t="s">
        <v>403</v>
      </c>
      <c r="O6" s="6" t="s">
        <v>404</v>
      </c>
      <c r="P6" s="6" t="s">
        <v>405</v>
      </c>
    </row>
    <row r="8" customFormat="false" ht="15" hidden="false" customHeight="false" outlineLevel="0" collapsed="false">
      <c r="A8" s="8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1"/>
    <col collapsed="false" customWidth="true" hidden="false" outlineLevel="0" max="4" min="4" style="0" width="36"/>
    <col collapsed="false" customWidth="true" hidden="false" outlineLevel="0" max="5" min="5" style="0" width="44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24"/>
  </cols>
  <sheetData>
    <row r="1" customFormat="false" ht="15" hidden="false" customHeight="false" outlineLevel="0" collapsed="false">
      <c r="A1" s="4" t="s">
        <v>407</v>
      </c>
      <c r="B1" s="4" t="s">
        <v>408</v>
      </c>
      <c r="C1" s="4" t="s">
        <v>409</v>
      </c>
      <c r="D1" s="4" t="s">
        <v>410</v>
      </c>
      <c r="E1" s="4" t="s">
        <v>411</v>
      </c>
      <c r="F1" s="4" t="s">
        <v>412</v>
      </c>
      <c r="G1" s="4" t="s">
        <v>413</v>
      </c>
      <c r="H1" s="4" t="s">
        <v>414</v>
      </c>
      <c r="I1" s="4" t="s">
        <v>415</v>
      </c>
      <c r="J1" s="4" t="s">
        <v>26</v>
      </c>
      <c r="K1" s="4" t="s">
        <v>24</v>
      </c>
      <c r="L1" s="4" t="s">
        <v>416</v>
      </c>
    </row>
    <row r="2" customFormat="false" ht="23.85" hidden="false" customHeight="false" outlineLevel="0" collapsed="false">
      <c r="A2" s="5" t="s">
        <v>417</v>
      </c>
      <c r="B2" s="5" t="s">
        <v>131</v>
      </c>
      <c r="C2" s="5" t="s">
        <v>418</v>
      </c>
      <c r="D2" s="5" t="s">
        <v>419</v>
      </c>
      <c r="E2" s="5" t="s">
        <v>420</v>
      </c>
      <c r="F2" s="5" t="s">
        <v>421</v>
      </c>
      <c r="G2" s="5" t="s">
        <v>422</v>
      </c>
      <c r="H2" s="5" t="s">
        <v>423</v>
      </c>
      <c r="I2" s="5" t="s">
        <v>37</v>
      </c>
      <c r="J2" s="5" t="s">
        <v>38</v>
      </c>
      <c r="K2" s="5" t="s">
        <v>424</v>
      </c>
      <c r="L2" s="5" t="s">
        <v>33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</sheetData>
  <dataValidations count="2">
    <dataValidation allowBlank="true" errorStyle="stop" operator="between" showDropDown="false" showErrorMessage="false" showInputMessage="false" sqref="C2:C42" type="list">
      <formula1>"สูง,ปานกลาง,ต่ำ"</formula1>
      <formula2>0</formula2>
    </dataValidation>
    <dataValidation allowBlank="true" errorStyle="stop" operator="between" showDropDown="false" showErrorMessage="false" showInputMessage="false" sqref="K2:K42" type="list">
      <formula1>"เปิด,กำลังแก้,แก้แล้ว,ปิด,ไม่แก้"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17.15" hidden="false" customHeight="false" outlineLevel="0" collapsed="false">
      <c r="A1" s="9" t="s">
        <v>425</v>
      </c>
    </row>
    <row r="3" customFormat="false" ht="15" hidden="false" customHeight="false" outlineLevel="0" collapsed="false">
      <c r="A3" s="4" t="s">
        <v>17</v>
      </c>
      <c r="B3" s="4" t="s">
        <v>426</v>
      </c>
      <c r="C3" s="4" t="s">
        <v>36</v>
      </c>
      <c r="D3" s="4" t="s">
        <v>427</v>
      </c>
      <c r="E3" s="4" t="s">
        <v>428</v>
      </c>
      <c r="F3" s="4" t="s">
        <v>429</v>
      </c>
      <c r="G3" s="4" t="s">
        <v>430</v>
      </c>
      <c r="H3" s="4" t="s">
        <v>431</v>
      </c>
    </row>
    <row r="4" customFormat="false" ht="15" hidden="false" customHeight="false" outlineLevel="0" collapsed="false">
      <c r="A4" s="10" t="s">
        <v>40</v>
      </c>
      <c r="B4" s="10" t="n">
        <f aca="false">COUNTIF('Test cases'!$B$3:$B$64,A4)</f>
        <v>3</v>
      </c>
      <c r="C4" s="10" t="n">
        <f aca="false">COUNTIFS('Test cases'!$B$3:$B$64,A4,'Test cases'!$I$3:$I$64,"ผ่าน")</f>
        <v>0</v>
      </c>
      <c r="D4" s="10" t="n">
        <f aca="false">COUNTIFS('Test cases'!$B$3:$B$64,A4,'Test cases'!$I$3:$I$64,"ไม่ผ่าน")</f>
        <v>0</v>
      </c>
      <c r="E4" s="10" t="n">
        <f aca="false">COUNTIFS('Test cases'!$B$3:$B$64,A4,'Test cases'!$I$3:$I$64,"ข้าม")</f>
        <v>0</v>
      </c>
      <c r="F4" s="10" t="n">
        <f aca="false">COUNTIFS('Test cases'!$B$3:$B$64,A4,'Test cases'!$I$3:$I$64,"บล็อก")</f>
        <v>0</v>
      </c>
      <c r="G4" s="10" t="n">
        <f aca="false">B4-C4-D4-E4-F4</f>
        <v>3</v>
      </c>
      <c r="H4" s="11" t="str">
        <f aca="false">IF(C4+D4=0,"-",C4/(C4+D4))</f>
        <v>-</v>
      </c>
    </row>
    <row r="5" customFormat="false" ht="15" hidden="false" customHeight="false" outlineLevel="0" collapsed="false">
      <c r="A5" s="10" t="s">
        <v>54</v>
      </c>
      <c r="B5" s="10" t="n">
        <f aca="false">COUNTIF('Test cases'!$B$3:$B$64,A5)</f>
        <v>6</v>
      </c>
      <c r="C5" s="10" t="n">
        <f aca="false">COUNTIFS('Test cases'!$B$3:$B$64,A5,'Test cases'!$I$3:$I$64,"ผ่าน")</f>
        <v>0</v>
      </c>
      <c r="D5" s="10" t="n">
        <f aca="false">COUNTIFS('Test cases'!$B$3:$B$64,A5,'Test cases'!$I$3:$I$64,"ไม่ผ่าน")</f>
        <v>0</v>
      </c>
      <c r="E5" s="10" t="n">
        <f aca="false">COUNTIFS('Test cases'!$B$3:$B$64,A5,'Test cases'!$I$3:$I$64,"ข้าม")</f>
        <v>0</v>
      </c>
      <c r="F5" s="10" t="n">
        <f aca="false">COUNTIFS('Test cases'!$B$3:$B$64,A5,'Test cases'!$I$3:$I$64,"บล็อก")</f>
        <v>0</v>
      </c>
      <c r="G5" s="10" t="n">
        <f aca="false">B5-C5-D5-E5-F5</f>
        <v>6</v>
      </c>
      <c r="H5" s="11" t="str">
        <f aca="false">IF(C5+D5=0,"-",C5/(C5+D5))</f>
        <v>-</v>
      </c>
    </row>
    <row r="6" customFormat="false" ht="15" hidden="false" customHeight="false" outlineLevel="0" collapsed="false">
      <c r="A6" s="10" t="s">
        <v>85</v>
      </c>
      <c r="B6" s="10" t="n">
        <f aca="false">COUNTIF('Test cases'!$B$3:$B$64,A6)</f>
        <v>3</v>
      </c>
      <c r="C6" s="10" t="n">
        <f aca="false">COUNTIFS('Test cases'!$B$3:$B$64,A6,'Test cases'!$I$3:$I$64,"ผ่าน")</f>
        <v>0</v>
      </c>
      <c r="D6" s="10" t="n">
        <f aca="false">COUNTIFS('Test cases'!$B$3:$B$64,A6,'Test cases'!$I$3:$I$64,"ไม่ผ่าน")</f>
        <v>0</v>
      </c>
      <c r="E6" s="10" t="n">
        <f aca="false">COUNTIFS('Test cases'!$B$3:$B$64,A6,'Test cases'!$I$3:$I$64,"ข้าม")</f>
        <v>0</v>
      </c>
      <c r="F6" s="10" t="n">
        <f aca="false">COUNTIFS('Test cases'!$B$3:$B$64,A6,'Test cases'!$I$3:$I$64,"บล็อก")</f>
        <v>0</v>
      </c>
      <c r="G6" s="10" t="n">
        <f aca="false">B6-C6-D6-E6-F6</f>
        <v>3</v>
      </c>
      <c r="H6" s="11" t="str">
        <f aca="false">IF(C6+D6=0,"-",C6/(C6+D6))</f>
        <v>-</v>
      </c>
    </row>
    <row r="7" customFormat="false" ht="15" hidden="false" customHeight="false" outlineLevel="0" collapsed="false">
      <c r="A7" s="10" t="s">
        <v>102</v>
      </c>
      <c r="B7" s="10" t="n">
        <f aca="false">COUNTIF('Test cases'!$B$3:$B$64,A7)</f>
        <v>15</v>
      </c>
      <c r="C7" s="10" t="n">
        <f aca="false">COUNTIFS('Test cases'!$B$3:$B$64,A7,'Test cases'!$I$3:$I$64,"ผ่าน")</f>
        <v>0</v>
      </c>
      <c r="D7" s="10" t="n">
        <f aca="false">COUNTIFS('Test cases'!$B$3:$B$64,A7,'Test cases'!$I$3:$I$64,"ไม่ผ่าน")</f>
        <v>0</v>
      </c>
      <c r="E7" s="10" t="n">
        <f aca="false">COUNTIFS('Test cases'!$B$3:$B$64,A7,'Test cases'!$I$3:$I$64,"ข้าม")</f>
        <v>0</v>
      </c>
      <c r="F7" s="10" t="n">
        <f aca="false">COUNTIFS('Test cases'!$B$3:$B$64,A7,'Test cases'!$I$3:$I$64,"บล็อก")</f>
        <v>0</v>
      </c>
      <c r="G7" s="10" t="n">
        <f aca="false">B7-C7-D7-E7-F7</f>
        <v>15</v>
      </c>
      <c r="H7" s="11" t="str">
        <f aca="false">IF(C7+D7=0,"-",C7/(C7+D7))</f>
        <v>-</v>
      </c>
    </row>
    <row r="8" customFormat="false" ht="15" hidden="false" customHeight="false" outlineLevel="0" collapsed="false">
      <c r="A8" s="10" t="s">
        <v>176</v>
      </c>
      <c r="B8" s="10" t="n">
        <f aca="false">COUNTIF('Test cases'!$B$3:$B$64,A8)</f>
        <v>4</v>
      </c>
      <c r="C8" s="10" t="n">
        <f aca="false">COUNTIFS('Test cases'!$B$3:$B$64,A8,'Test cases'!$I$3:$I$64,"ผ่าน")</f>
        <v>0</v>
      </c>
      <c r="D8" s="10" t="n">
        <f aca="false">COUNTIFS('Test cases'!$B$3:$B$64,A8,'Test cases'!$I$3:$I$64,"ไม่ผ่าน")</f>
        <v>0</v>
      </c>
      <c r="E8" s="10" t="n">
        <f aca="false">COUNTIFS('Test cases'!$B$3:$B$64,A8,'Test cases'!$I$3:$I$64,"ข้าม")</f>
        <v>0</v>
      </c>
      <c r="F8" s="10" t="n">
        <f aca="false">COUNTIFS('Test cases'!$B$3:$B$64,A8,'Test cases'!$I$3:$I$64,"บล็อก")</f>
        <v>0</v>
      </c>
      <c r="G8" s="10" t="n">
        <f aca="false">B8-C8-D8-E8-F8</f>
        <v>4</v>
      </c>
      <c r="H8" s="11" t="str">
        <f aca="false">IF(C8+D8=0,"-",C8/(C8+D8))</f>
        <v>-</v>
      </c>
    </row>
    <row r="9" customFormat="false" ht="15" hidden="false" customHeight="false" outlineLevel="0" collapsed="false">
      <c r="A9" s="10" t="s">
        <v>196</v>
      </c>
      <c r="B9" s="10" t="n">
        <f aca="false">COUNTIF('Test cases'!$B$3:$B$64,A9)</f>
        <v>3</v>
      </c>
      <c r="C9" s="10" t="n">
        <f aca="false">COUNTIFS('Test cases'!$B$3:$B$64,A9,'Test cases'!$I$3:$I$64,"ผ่าน")</f>
        <v>0</v>
      </c>
      <c r="D9" s="10" t="n">
        <f aca="false">COUNTIFS('Test cases'!$B$3:$B$64,A9,'Test cases'!$I$3:$I$64,"ไม่ผ่าน")</f>
        <v>0</v>
      </c>
      <c r="E9" s="10" t="n">
        <f aca="false">COUNTIFS('Test cases'!$B$3:$B$64,A9,'Test cases'!$I$3:$I$64,"ข้าม")</f>
        <v>0</v>
      </c>
      <c r="F9" s="10" t="n">
        <f aca="false">COUNTIFS('Test cases'!$B$3:$B$64,A9,'Test cases'!$I$3:$I$64,"บล็อก")</f>
        <v>0</v>
      </c>
      <c r="G9" s="10" t="n">
        <f aca="false">B9-C9-D9-E9-F9</f>
        <v>3</v>
      </c>
      <c r="H9" s="11" t="str">
        <f aca="false">IF(C9+D9=0,"-",C9/(C9+D9))</f>
        <v>-</v>
      </c>
    </row>
    <row r="10" customFormat="false" ht="15" hidden="false" customHeight="false" outlineLevel="0" collapsed="false">
      <c r="A10" s="10" t="s">
        <v>212</v>
      </c>
      <c r="B10" s="10" t="n">
        <f aca="false">COUNTIF('Test cases'!$B$3:$B$64,A10)</f>
        <v>6</v>
      </c>
      <c r="C10" s="10" t="n">
        <f aca="false">COUNTIFS('Test cases'!$B$3:$B$64,A10,'Test cases'!$I$3:$I$64,"ผ่าน")</f>
        <v>0</v>
      </c>
      <c r="D10" s="10" t="n">
        <f aca="false">COUNTIFS('Test cases'!$B$3:$B$64,A10,'Test cases'!$I$3:$I$64,"ไม่ผ่าน")</f>
        <v>0</v>
      </c>
      <c r="E10" s="10" t="n">
        <f aca="false">COUNTIFS('Test cases'!$B$3:$B$64,A10,'Test cases'!$I$3:$I$64,"ข้าม")</f>
        <v>0</v>
      </c>
      <c r="F10" s="10" t="n">
        <f aca="false">COUNTIFS('Test cases'!$B$3:$B$64,A10,'Test cases'!$I$3:$I$64,"บล็อก")</f>
        <v>0</v>
      </c>
      <c r="G10" s="10" t="n">
        <f aca="false">B10-C10-D10-E10-F10</f>
        <v>6</v>
      </c>
      <c r="H10" s="11" t="str">
        <f aca="false">IF(C10+D10=0,"-",C10/(C10+D10))</f>
        <v>-</v>
      </c>
    </row>
    <row r="11" customFormat="false" ht="15" hidden="false" customHeight="false" outlineLevel="0" collapsed="false">
      <c r="A11" s="10" t="s">
        <v>242</v>
      </c>
      <c r="B11" s="10" t="n">
        <f aca="false">COUNTIF('Test cases'!$B$3:$B$64,A11)</f>
        <v>1</v>
      </c>
      <c r="C11" s="10" t="n">
        <f aca="false">COUNTIFS('Test cases'!$B$3:$B$64,A11,'Test cases'!$I$3:$I$64,"ผ่าน")</f>
        <v>0</v>
      </c>
      <c r="D11" s="10" t="n">
        <f aca="false">COUNTIFS('Test cases'!$B$3:$B$64,A11,'Test cases'!$I$3:$I$64,"ไม่ผ่าน")</f>
        <v>0</v>
      </c>
      <c r="E11" s="10" t="n">
        <f aca="false">COUNTIFS('Test cases'!$B$3:$B$64,A11,'Test cases'!$I$3:$I$64,"ข้าม")</f>
        <v>0</v>
      </c>
      <c r="F11" s="10" t="n">
        <f aca="false">COUNTIFS('Test cases'!$B$3:$B$64,A11,'Test cases'!$I$3:$I$64,"บล็อก")</f>
        <v>0</v>
      </c>
      <c r="G11" s="10" t="n">
        <f aca="false">B11-C11-D11-E11-F11</f>
        <v>1</v>
      </c>
      <c r="H11" s="11" t="str">
        <f aca="false">IF(C11+D11=0,"-",C11/(C11+D11))</f>
        <v>-</v>
      </c>
    </row>
    <row r="12" customFormat="false" ht="15" hidden="false" customHeight="false" outlineLevel="0" collapsed="false">
      <c r="A12" s="10" t="s">
        <v>291</v>
      </c>
      <c r="B12" s="10" t="n">
        <f aca="false">COUNTIF('Test cases'!$B$3:$B$64,A12)</f>
        <v>3</v>
      </c>
      <c r="C12" s="10" t="n">
        <f aca="false">COUNTIFS('Test cases'!$B$3:$B$64,A12,'Test cases'!$I$3:$I$64,"ผ่าน")</f>
        <v>0</v>
      </c>
      <c r="D12" s="10" t="n">
        <f aca="false">COUNTIFS('Test cases'!$B$3:$B$64,A12,'Test cases'!$I$3:$I$64,"ไม่ผ่าน")</f>
        <v>0</v>
      </c>
      <c r="E12" s="10" t="n">
        <f aca="false">COUNTIFS('Test cases'!$B$3:$B$64,A12,'Test cases'!$I$3:$I$64,"ข้าม")</f>
        <v>0</v>
      </c>
      <c r="F12" s="10" t="n">
        <f aca="false">COUNTIFS('Test cases'!$B$3:$B$64,A12,'Test cases'!$I$3:$I$64,"บล็อก")</f>
        <v>0</v>
      </c>
      <c r="G12" s="10" t="n">
        <f aca="false">B12-C12-D12-E12-F12</f>
        <v>3</v>
      </c>
      <c r="H12" s="11" t="str">
        <f aca="false">IF(C12+D12=0,"-",C12/(C12+D12))</f>
        <v>-</v>
      </c>
    </row>
    <row r="13" customFormat="false" ht="15" hidden="false" customHeight="false" outlineLevel="0" collapsed="false">
      <c r="A13" s="10" t="s">
        <v>249</v>
      </c>
      <c r="B13" s="10" t="n">
        <f aca="false">COUNTIF('Test cases'!$B$3:$B$64,A13)</f>
        <v>8</v>
      </c>
      <c r="C13" s="10" t="n">
        <f aca="false">COUNTIFS('Test cases'!$B$3:$B$64,A13,'Test cases'!$I$3:$I$64,"ผ่าน")</f>
        <v>0</v>
      </c>
      <c r="D13" s="10" t="n">
        <f aca="false">COUNTIFS('Test cases'!$B$3:$B$64,A13,'Test cases'!$I$3:$I$64,"ไม่ผ่าน")</f>
        <v>0</v>
      </c>
      <c r="E13" s="10" t="n">
        <f aca="false">COUNTIFS('Test cases'!$B$3:$B$64,A13,'Test cases'!$I$3:$I$64,"ข้าม")</f>
        <v>0</v>
      </c>
      <c r="F13" s="10" t="n">
        <f aca="false">COUNTIFS('Test cases'!$B$3:$B$64,A13,'Test cases'!$I$3:$I$64,"บล็อก")</f>
        <v>0</v>
      </c>
      <c r="G13" s="10" t="n">
        <f aca="false">B13-C13-D13-E13-F13</f>
        <v>8</v>
      </c>
      <c r="H13" s="11" t="str">
        <f aca="false">IF(C13+D13=0,"-",C13/(C13+D13))</f>
        <v>-</v>
      </c>
    </row>
    <row r="14" customFormat="false" ht="15" hidden="false" customHeight="false" outlineLevel="0" collapsed="false">
      <c r="A14" s="10" t="s">
        <v>307</v>
      </c>
      <c r="B14" s="10" t="n">
        <f aca="false">COUNTIF('Test cases'!$B$3:$B$64,A14)</f>
        <v>10</v>
      </c>
      <c r="C14" s="10" t="n">
        <f aca="false">COUNTIFS('Test cases'!$B$3:$B$64,A14,'Test cases'!$I$3:$I$64,"ผ่าน")</f>
        <v>0</v>
      </c>
      <c r="D14" s="10" t="n">
        <f aca="false">COUNTIFS('Test cases'!$B$3:$B$64,A14,'Test cases'!$I$3:$I$64,"ไม่ผ่าน")</f>
        <v>0</v>
      </c>
      <c r="E14" s="10" t="n">
        <f aca="false">COUNTIFS('Test cases'!$B$3:$B$64,A14,'Test cases'!$I$3:$I$64,"ข้าม")</f>
        <v>0</v>
      </c>
      <c r="F14" s="10" t="n">
        <f aca="false">COUNTIFS('Test cases'!$B$3:$B$64,A14,'Test cases'!$I$3:$I$64,"บล็อก")</f>
        <v>0</v>
      </c>
      <c r="G14" s="10" t="n">
        <f aca="false">B14-C14-D14-E14-F14</f>
        <v>10</v>
      </c>
      <c r="H14" s="11" t="str">
        <f aca="false">IF(C14+D14=0,"-",C14/(C14+D14))</f>
        <v>-</v>
      </c>
    </row>
    <row r="15" customFormat="false" ht="15" hidden="false" customHeight="false" outlineLevel="0" collapsed="false">
      <c r="A15" s="12" t="s">
        <v>432</v>
      </c>
      <c r="B15" s="12" t="n">
        <f aca="false">SUM(B4:B14)</f>
        <v>62</v>
      </c>
      <c r="C15" s="12" t="n">
        <f aca="false">SUM(C4:C14)</f>
        <v>0</v>
      </c>
      <c r="D15" s="12" t="n">
        <f aca="false">SUM(D4:D14)</f>
        <v>0</v>
      </c>
      <c r="E15" s="12" t="n">
        <f aca="false">SUM(E4:E14)</f>
        <v>0</v>
      </c>
      <c r="F15" s="12" t="n">
        <f aca="false">SUM(F4:F14)</f>
        <v>0</v>
      </c>
      <c r="G15" s="12" t="n">
        <f aca="false">SUM(G4:G14)</f>
        <v>62</v>
      </c>
      <c r="H15" s="13" t="str">
        <f aca="false">IF(C15+D15=0,"-",C15/(C15+D15))</f>
        <v>-</v>
      </c>
    </row>
    <row r="17" customFormat="false" ht="15" hidden="false" customHeight="false" outlineLevel="0" collapsed="false">
      <c r="A17" s="14" t="s">
        <v>433</v>
      </c>
      <c r="B17" s="0" t="n">
        <f aca="false">COUNTIF('Issue log'!$K$3:$K$42,"เปิด")+COUNTIF('Issue log'!$K$3:$K$42,"กำลังแก้")</f>
        <v>0</v>
      </c>
    </row>
    <row r="18" customFormat="false" ht="15" hidden="false" customHeight="false" outlineLevel="0" collapsed="false">
      <c r="A18" s="14" t="s">
        <v>434</v>
      </c>
      <c r="B18" s="0" t="n">
        <f aca="false">COUNTIFS('Issue log'!$C$3:$C$42,"สูง",'Issue log'!$K$3:$K$42,"&lt;&gt;ปิด",'Issue log'!$K$3:$K$42,"&lt;&gt;แก้แล้ว",'Issue log'!$K$3:$K$42,"&lt;&gt;")</f>
        <v>0</v>
      </c>
    </row>
    <row r="20" customFormat="false" ht="15" hidden="false" customHeight="false" outlineLevel="0" collapsed="false">
      <c r="A20" s="15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2026-10-22T03:32:59Z</dcterms:created>
  <dc:creator>openpyxl</dc:creator>
  <dc:description/>
  <dc:language>en-US</dc:language>
  <cp:lastModifiedBy/>
  <dcterms:modified xsi:type="dcterms:W3CDTF">2026-10-22T03:32:59Z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